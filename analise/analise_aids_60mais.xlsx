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eeab6ddaeb5a08bb/Área de Trabalho/Trabalho prof Luciana/"/>
    </mc:Choice>
  </mc:AlternateContent>
  <xr:revisionPtr revIDLastSave="229" documentId="8_{0F127F71-896C-4CCA-998B-5DAED99C69AA}" xr6:coauthVersionLast="47" xr6:coauthVersionMax="47" xr10:uidLastSave="{66F19CB8-F2BE-4F8D-92B4-6AFDE9E4D680}"/>
  <bookViews>
    <workbookView xWindow="-120" yWindow="-120" windowWidth="29040" windowHeight="16440" tabRatio="652" xr2:uid="{19AC76B7-921F-48BF-8A14-B5C0E99898DA}"/>
  </bookViews>
  <sheets>
    <sheet name="Análise_aids_60mais" sheetId="6" r:id="rId1"/>
    <sheet name="Notas Metodológicas e Fontes" sheetId="8" r:id="rId2"/>
    <sheet name="aids_60mais_estado" sheetId="5" r:id="rId3"/>
    <sheet name="aids_60mais_regiao" sheetId="4" r:id="rId4"/>
    <sheet name="aids_60mais_sexo" sheetId="3" r:id="rId5"/>
    <sheet name="aids_60mais_total" sheetId="2" r:id="rId6"/>
    <sheet name="pop_cru_60mais" sheetId="7" r:id="rId7"/>
  </sheets>
  <definedNames>
    <definedName name="_xlnm._FilterDatabase" localSheetId="2" hidden="1">aids_60mais_estado!$A$31:$A$31</definedName>
    <definedName name="DadosExternos_1" localSheetId="5" hidden="1">aids_60mais_total!$A$1:$B$16</definedName>
    <definedName name="DadosExternos_2" localSheetId="4" hidden="1">aids_60mais_sexo!$A$1:$E$16</definedName>
    <definedName name="DadosExternos_3" localSheetId="3" hidden="1">aids_60mais_regiao!$A$1:$H$16</definedName>
    <definedName name="DadosExternos_4" localSheetId="2" hidden="1">aids_60mais_estado!$A$1:$P$29</definedName>
  </definedNames>
  <calcPr calcId="191029"/>
</workbook>
</file>

<file path=xl/calcChain.xml><?xml version="1.0" encoding="utf-8"?>
<calcChain xmlns="http://schemas.openxmlformats.org/spreadsheetml/2006/main">
  <c r="AL27" i="6" l="1"/>
  <c r="AL28" i="6"/>
  <c r="AL29" i="6"/>
  <c r="AL30" i="6"/>
  <c r="AL31" i="6"/>
  <c r="AL32" i="6"/>
  <c r="AL33" i="6"/>
  <c r="AL34" i="6"/>
  <c r="AL35" i="6"/>
  <c r="AL36" i="6"/>
  <c r="AL37" i="6"/>
  <c r="AL38" i="6"/>
  <c r="AL39" i="6"/>
  <c r="AL40" i="6"/>
  <c r="AL26" i="6"/>
  <c r="AK27" i="6"/>
  <c r="AK28" i="6"/>
  <c r="AK29" i="6"/>
  <c r="AK30" i="6"/>
  <c r="AK31" i="6"/>
  <c r="AK32" i="6"/>
  <c r="AK33" i="6"/>
  <c r="AK34" i="6"/>
  <c r="AK35" i="6"/>
  <c r="AK36" i="6"/>
  <c r="AK37" i="6"/>
  <c r="AK38" i="6"/>
  <c r="AK39" i="6"/>
  <c r="AK40" i="6"/>
  <c r="AK26" i="6"/>
  <c r="AJ27" i="6"/>
  <c r="AJ28" i="6"/>
  <c r="AJ29" i="6"/>
  <c r="AJ30" i="6"/>
  <c r="AJ31" i="6"/>
  <c r="AJ32" i="6"/>
  <c r="AJ33" i="6"/>
  <c r="AJ34" i="6"/>
  <c r="AJ35" i="6"/>
  <c r="AJ36" i="6"/>
  <c r="AJ37" i="6"/>
  <c r="AJ38" i="6"/>
  <c r="AJ39" i="6"/>
  <c r="AJ40" i="6"/>
  <c r="AJ26" i="6"/>
  <c r="AI27" i="6"/>
  <c r="AI28" i="6"/>
  <c r="AI29" i="6"/>
  <c r="AI30" i="6"/>
  <c r="AI31" i="6"/>
  <c r="AI32" i="6"/>
  <c r="AI33" i="6"/>
  <c r="AI34" i="6"/>
  <c r="AI35" i="6"/>
  <c r="AI36" i="6"/>
  <c r="AI37" i="6"/>
  <c r="AI38" i="6"/>
  <c r="AI39" i="6"/>
  <c r="AI40" i="6"/>
  <c r="AI26" i="6"/>
  <c r="AH27" i="6"/>
  <c r="AH28" i="6"/>
  <c r="AH29" i="6"/>
  <c r="AH30" i="6"/>
  <c r="AH31" i="6"/>
  <c r="AH32" i="6"/>
  <c r="AH33" i="6"/>
  <c r="AH34" i="6"/>
  <c r="AH35" i="6"/>
  <c r="AH36" i="6"/>
  <c r="AH37" i="6"/>
  <c r="AH38" i="6"/>
  <c r="AH39" i="6"/>
  <c r="AH40" i="6"/>
  <c r="AH26" i="6"/>
  <c r="AE27" i="6"/>
  <c r="AE28" i="6"/>
  <c r="AE29" i="6"/>
  <c r="AE30" i="6"/>
  <c r="AE31" i="6"/>
  <c r="AE32" i="6"/>
  <c r="AE33" i="6"/>
  <c r="AE34" i="6"/>
  <c r="AE35" i="6"/>
  <c r="AE36" i="6"/>
  <c r="AE37" i="6"/>
  <c r="AE38" i="6"/>
  <c r="AE39" i="6"/>
  <c r="AE40" i="6"/>
  <c r="AE26" i="6"/>
  <c r="AD40" i="6"/>
  <c r="AD27" i="6"/>
  <c r="AD28" i="6"/>
  <c r="AD29" i="6"/>
  <c r="AD30" i="6"/>
  <c r="AD31" i="6"/>
  <c r="AD32" i="6"/>
  <c r="AD33" i="6"/>
  <c r="AD34" i="6"/>
  <c r="AD35" i="6"/>
  <c r="AD36" i="6"/>
  <c r="AD37" i="6"/>
  <c r="AD38" i="6"/>
  <c r="AD39" i="6"/>
  <c r="AD26" i="6"/>
  <c r="AC27" i="6"/>
  <c r="AC28" i="6"/>
  <c r="AC29" i="6"/>
  <c r="AC30" i="6"/>
  <c r="AC31" i="6"/>
  <c r="AC32" i="6"/>
  <c r="AC33" i="6"/>
  <c r="AC34" i="6"/>
  <c r="AC35" i="6"/>
  <c r="AC36" i="6"/>
  <c r="AC37" i="6"/>
  <c r="AC38" i="6"/>
  <c r="AC39" i="6"/>
  <c r="AC40" i="6"/>
  <c r="AC26" i="6"/>
  <c r="AA26" i="6"/>
  <c r="AB27" i="6"/>
  <c r="AB28" i="6"/>
  <c r="AB29" i="6"/>
  <c r="AB30" i="6"/>
  <c r="AB31" i="6"/>
  <c r="AB32" i="6"/>
  <c r="AB33" i="6"/>
  <c r="AB34" i="6"/>
  <c r="AB35" i="6"/>
  <c r="AB36" i="6"/>
  <c r="AB37" i="6"/>
  <c r="AB38" i="6"/>
  <c r="AB39" i="6"/>
  <c r="AB40" i="6"/>
  <c r="AB26" i="6"/>
  <c r="AA27" i="6"/>
  <c r="AA28" i="6"/>
  <c r="AA29" i="6"/>
  <c r="AA30" i="6"/>
  <c r="AA31" i="6"/>
  <c r="AA32" i="6"/>
  <c r="AA33" i="6"/>
  <c r="AA34" i="6"/>
  <c r="AA35" i="6"/>
  <c r="AA36" i="6"/>
  <c r="AA37" i="6"/>
  <c r="AA38" i="6"/>
  <c r="AA39" i="6"/>
  <c r="AA40" i="6"/>
  <c r="X27" i="6"/>
  <c r="X28" i="6"/>
  <c r="X34" i="6"/>
  <c r="X35" i="6"/>
  <c r="X36" i="6"/>
  <c r="X37" i="6"/>
  <c r="X38" i="6"/>
  <c r="X39" i="6"/>
  <c r="X40" i="6"/>
  <c r="X26" i="6"/>
  <c r="W40" i="6"/>
  <c r="W27" i="6"/>
  <c r="W28" i="6"/>
  <c r="W32" i="6"/>
  <c r="W34" i="6"/>
  <c r="W35" i="6"/>
  <c r="W36" i="6"/>
  <c r="W37" i="6"/>
  <c r="W38" i="6"/>
  <c r="W39" i="6"/>
  <c r="W26" i="6"/>
  <c r="U27" i="6"/>
  <c r="U28" i="6"/>
  <c r="U29" i="6"/>
  <c r="X29" i="6" s="1"/>
  <c r="U30" i="6"/>
  <c r="X30" i="6" s="1"/>
  <c r="U31" i="6"/>
  <c r="X31" i="6" s="1"/>
  <c r="U32" i="6"/>
  <c r="X32" i="6" s="1"/>
  <c r="U33" i="6"/>
  <c r="X33" i="6" s="1"/>
  <c r="U34" i="6"/>
  <c r="U35" i="6"/>
  <c r="U36" i="6"/>
  <c r="U37" i="6"/>
  <c r="U38" i="6"/>
  <c r="U39" i="6"/>
  <c r="U40" i="6"/>
  <c r="U26" i="6"/>
  <c r="S27" i="6"/>
  <c r="S28" i="6"/>
  <c r="S29" i="6"/>
  <c r="W29" i="6" s="1"/>
  <c r="S30" i="6"/>
  <c r="W30" i="6" s="1"/>
  <c r="S31" i="6"/>
  <c r="W31" i="6" s="1"/>
  <c r="S32" i="6"/>
  <c r="S33" i="6"/>
  <c r="W33" i="6" s="1"/>
  <c r="S34" i="6"/>
  <c r="S35" i="6"/>
  <c r="S36" i="6"/>
  <c r="S37" i="6"/>
  <c r="S38" i="6"/>
  <c r="S39" i="6"/>
  <c r="S40" i="6"/>
  <c r="S26" i="6"/>
  <c r="D102" i="7"/>
  <c r="D103" i="7"/>
  <c r="D104" i="7"/>
  <c r="D105" i="7"/>
  <c r="D106" i="7"/>
  <c r="D107" i="7"/>
  <c r="D108" i="7"/>
  <c r="D109" i="7"/>
  <c r="D110" i="7"/>
  <c r="D111" i="7"/>
  <c r="D112" i="7"/>
  <c r="D113" i="7"/>
  <c r="D114" i="7"/>
  <c r="D115" i="7"/>
  <c r="D101" i="7"/>
  <c r="B102" i="7"/>
  <c r="B103" i="7"/>
  <c r="B104" i="7"/>
  <c r="B105" i="7"/>
  <c r="B106" i="7"/>
  <c r="B107" i="7"/>
  <c r="B108" i="7"/>
  <c r="B109" i="7"/>
  <c r="B110" i="7"/>
  <c r="B111" i="7"/>
  <c r="B112" i="7"/>
  <c r="B113" i="7"/>
  <c r="B114" i="7"/>
  <c r="B115" i="7"/>
  <c r="B101" i="7"/>
  <c r="Q2" i="5"/>
  <c r="Q25" i="5"/>
  <c r="Q29" i="5"/>
  <c r="Q17" i="5"/>
  <c r="Q28" i="5"/>
  <c r="Q10" i="5"/>
  <c r="Q27" i="5"/>
  <c r="Q26" i="5"/>
  <c r="Q12" i="5"/>
  <c r="Q21" i="5"/>
  <c r="Q13" i="5"/>
  <c r="Q19" i="5"/>
  <c r="Q22" i="5"/>
  <c r="Q11" i="5"/>
  <c r="Q20" i="5"/>
  <c r="Q24" i="5"/>
  <c r="Q9" i="5"/>
  <c r="Q6" i="5"/>
  <c r="Q15" i="5"/>
  <c r="Q5" i="5"/>
  <c r="Q3" i="5"/>
  <c r="Q7" i="5"/>
  <c r="Q8" i="5"/>
  <c r="Q4" i="5"/>
  <c r="Q18" i="5"/>
  <c r="Q16" i="5"/>
  <c r="Q14" i="5"/>
  <c r="Q2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EC89F8-B248-4ADE-BA02-4B5D00BE77B3}" keepAlive="1" name="Consulta - aids_60mais_estado" description="Conexão com a consulta 'aids_60mais_estado' na pasta de trabalho." type="5" refreshedVersion="8" background="1" saveData="1">
    <dbPr connection="Provider=Microsoft.Mashup.OleDb.1;Data Source=$Workbook$;Location=aids_60mais_estado;Extended Properties=&quot;&quot;" command="SELECT * FROM [aids_60mais_estado]"/>
  </connection>
  <connection id="2" xr16:uid="{18008B8B-7650-46CA-B0E7-5576977EE9A4}" keepAlive="1" name="Consulta - aids_60mais_regiao" description="Conexão com a consulta 'aids_60mais_regiao' na pasta de trabalho." type="5" refreshedVersion="8" background="1" saveData="1">
    <dbPr connection="Provider=Microsoft.Mashup.OleDb.1;Data Source=$Workbook$;Location=aids_60mais_regiao;Extended Properties=&quot;&quot;" command="SELECT * FROM [aids_60mais_regiao]"/>
  </connection>
  <connection id="3" xr16:uid="{18BD0AB4-BB11-42CA-80CC-CB674AF7CF3D}" keepAlive="1" name="Consulta - aids_60mais_sexo" description="Conexão com a consulta 'aids_60mais_sexo' na pasta de trabalho." type="5" refreshedVersion="8" background="1" saveData="1">
    <dbPr connection="Provider=Microsoft.Mashup.OleDb.1;Data Source=$Workbook$;Location=aids_60mais_sexo;Extended Properties=&quot;&quot;" command="SELECT * FROM [aids_60mais_sexo]"/>
  </connection>
  <connection id="4" xr16:uid="{C09DFF42-A1D6-4AD3-957A-E784AE6EA65D}" keepAlive="1" name="Consulta - aids_60mais_total" description="Conexão com a consulta 'aids_60mais_total' na pasta de trabalho." type="5" refreshedVersion="8" background="1" saveData="1">
    <dbPr connection="Provider=Microsoft.Mashup.OleDb.1;Data Source=$Workbook$;Location=aids_60mais_total;Extended Properties=&quot;&quot;" command="SELECT * FROM [aids_60mais_total]"/>
  </connection>
</connections>
</file>

<file path=xl/sharedStrings.xml><?xml version="1.0" encoding="utf-8"?>
<sst xmlns="http://schemas.openxmlformats.org/spreadsheetml/2006/main" count="309" uniqueCount="121">
  <si>
    <t>Total</t>
  </si>
  <si>
    <t>Ignorado/Em Branco</t>
  </si>
  <si>
    <t>Acre</t>
  </si>
  <si>
    <t>Amazonas</t>
  </si>
  <si>
    <t>Roraima</t>
  </si>
  <si>
    <t>Tocantins</t>
  </si>
  <si>
    <t>Rio Grande do Norte</t>
  </si>
  <si>
    <t>Pernambuco</t>
  </si>
  <si>
    <t>Alagoas</t>
  </si>
  <si>
    <t>Sergipe</t>
  </si>
  <si>
    <t>Bahia</t>
  </si>
  <si>
    <t>Minas Gerais</t>
  </si>
  <si>
    <t>Rio de Janeiro</t>
  </si>
  <si>
    <t>Santa Catarina</t>
  </si>
  <si>
    <t>Rio Grande do Sul</t>
  </si>
  <si>
    <t>Mato Grosso do Sul</t>
  </si>
  <si>
    <t>Mato Grosso</t>
  </si>
  <si>
    <t>Distrito Federal</t>
  </si>
  <si>
    <t>Ano Diagnóstico</t>
  </si>
  <si>
    <t>Freqüência</t>
  </si>
  <si>
    <t>2010</t>
  </si>
  <si>
    <t>2011</t>
  </si>
  <si>
    <t>2012</t>
  </si>
  <si>
    <t>2013</t>
  </si>
  <si>
    <t>2014</t>
  </si>
  <si>
    <t>2015</t>
  </si>
  <si>
    <t>2016</t>
  </si>
  <si>
    <t>2017</t>
  </si>
  <si>
    <t>2018</t>
  </si>
  <si>
    <t>2019</t>
  </si>
  <si>
    <t>2020</t>
  </si>
  <si>
    <t>2021</t>
  </si>
  <si>
    <t>2022</t>
  </si>
  <si>
    <t>2023</t>
  </si>
  <si>
    <t>2024</t>
  </si>
  <si>
    <t>Masculino</t>
  </si>
  <si>
    <t>Feminino</t>
  </si>
  <si>
    <t>Ignorado</t>
  </si>
  <si>
    <t>Região Norte</t>
  </si>
  <si>
    <t>Região Nordeste</t>
  </si>
  <si>
    <t>Região Sudeste</t>
  </si>
  <si>
    <t>Região Sul</t>
  </si>
  <si>
    <t>Região Centro-Oeste</t>
  </si>
  <si>
    <t>Ignorado/Exterior</t>
  </si>
  <si>
    <t>UF Residência</t>
  </si>
  <si>
    <t>Rondônia</t>
  </si>
  <si>
    <t>Pará</t>
  </si>
  <si>
    <t>Amapá</t>
  </si>
  <si>
    <t>Maranhão</t>
  </si>
  <si>
    <t>Piauí</t>
  </si>
  <si>
    <t>Ceará</t>
  </si>
  <si>
    <t>Paraíba</t>
  </si>
  <si>
    <t>Espírito Santo</t>
  </si>
  <si>
    <t>São Paulo</t>
  </si>
  <si>
    <t>Paraná</t>
  </si>
  <si>
    <t>Goiás</t>
  </si>
  <si>
    <t>Fonte: IBGE - Projeção da População</t>
  </si>
  <si>
    <t>Centro-Oeste</t>
  </si>
  <si>
    <t>Sul</t>
  </si>
  <si>
    <t>Sudeste</t>
  </si>
  <si>
    <t>Nordeste</t>
  </si>
  <si>
    <t>Norte</t>
  </si>
  <si>
    <t>Brasil</t>
  </si>
  <si>
    <t>90 anos ou mais</t>
  </si>
  <si>
    <t>89 anos</t>
  </si>
  <si>
    <t>88 anos</t>
  </si>
  <si>
    <t>87 anos</t>
  </si>
  <si>
    <t>86 anos</t>
  </si>
  <si>
    <t>85 anos</t>
  </si>
  <si>
    <t>84 anos</t>
  </si>
  <si>
    <t>83 anos</t>
  </si>
  <si>
    <t>82 anos</t>
  </si>
  <si>
    <t>81 anos</t>
  </si>
  <si>
    <t>80 anos</t>
  </si>
  <si>
    <t>79 anos</t>
  </si>
  <si>
    <t>78 anos</t>
  </si>
  <si>
    <t>77 anos</t>
  </si>
  <si>
    <t>76 anos</t>
  </si>
  <si>
    <t>75 anos</t>
  </si>
  <si>
    <t>74 anos</t>
  </si>
  <si>
    <t>73 anos</t>
  </si>
  <si>
    <t>72 anos</t>
  </si>
  <si>
    <t>71 anos</t>
  </si>
  <si>
    <t>70 anos</t>
  </si>
  <si>
    <t>69 anos</t>
  </si>
  <si>
    <t>68 anos</t>
  </si>
  <si>
    <t>67 anos</t>
  </si>
  <si>
    <t>66 anos</t>
  </si>
  <si>
    <t>65 anos</t>
  </si>
  <si>
    <t>64 anos</t>
  </si>
  <si>
    <t>63 anos</t>
  </si>
  <si>
    <t>62 anos</t>
  </si>
  <si>
    <t>61 anos</t>
  </si>
  <si>
    <t>60 anos</t>
  </si>
  <si>
    <t>Mulheres</t>
  </si>
  <si>
    <t>Homens</t>
  </si>
  <si>
    <t>Ano de edição da projeção x Sexo x Idade</t>
  </si>
  <si>
    <t>Ano</t>
  </si>
  <si>
    <t>Brasil e Grande Região</t>
  </si>
  <si>
    <t>Variável - População (Pessoas)</t>
  </si>
  <si>
    <t>Tabela 7358 - População, por sexo e idade</t>
  </si>
  <si>
    <t>Homens_60mais</t>
  </si>
  <si>
    <t>Mulheres_60mais</t>
  </si>
  <si>
    <t>POPULAÇÃO DE HOMENS E MULHERES COM MAIS DE 60 ANOS NO BRASIL ENTRE 2010 - 2024</t>
  </si>
  <si>
    <t>% Por casos no Brasil</t>
  </si>
  <si>
    <t>Homens%</t>
  </si>
  <si>
    <t>Mulheres%</t>
  </si>
  <si>
    <t>Sudoeste</t>
  </si>
  <si>
    <t>Centro Oeste</t>
  </si>
  <si>
    <t>Observações que anotamos ao longo do projeto</t>
  </si>
  <si>
    <r>
      <t>1. Atraso na consolidação dos dados</t>
    </r>
    <r>
      <rPr>
        <sz val="11"/>
        <color theme="1"/>
        <rFont val="Calibri"/>
        <family val="2"/>
        <scheme val="minor"/>
      </rPr>
      <t xml:space="preserve"> Os dados de 2024 ainda estão sendo consolidados pelo Ministério da Saúde. Casos notificados recentemente podem ainda não ter sido registrados no SINAN, o que significa que o número real de casos pode ser maior do que o apresentado. O próprio sistema avisa "dados sujeitos a revisão".</t>
    </r>
  </si>
  <si>
    <r>
      <t>2. Subnotificação estrutural</t>
    </r>
    <r>
      <rPr>
        <sz val="11"/>
        <color theme="1"/>
        <rFont val="Calibri"/>
        <family val="2"/>
        <scheme val="minor"/>
      </rPr>
      <t xml:space="preserve"> Nem todos os casos de AIDS chegam ao SINAN. Municípios menores e regiões com menor acesso à saúde tendem a ter maior subnotificação. Os números apresentados representam casos registrados, não necessariamente todos os casos existentes.</t>
    </r>
  </si>
  <si>
    <r>
      <t>3. Recorte etário — uso da Idade Detalhada</t>
    </r>
    <r>
      <rPr>
        <sz val="11"/>
        <color theme="1"/>
        <rFont val="Calibri"/>
        <family val="2"/>
        <scheme val="minor"/>
      </rPr>
      <t xml:space="preserve"> O SINAN agrupa as faixas etárias em categorias que não coincidem exatamente com "60 anos ou mais". Para garantir o recorte preciso solicitado, foi utilizado o filtro de Idade Detalhada, selecionando individualmente cada ano de idade de 60 até 90 anos ou mais.</t>
    </r>
  </si>
  <si>
    <r>
      <t>4. Casos com sexo ignorado</t>
    </r>
    <r>
      <rPr>
        <sz val="11"/>
        <color theme="1"/>
        <rFont val="Calibri"/>
        <family val="2"/>
        <scheme val="minor"/>
      </rPr>
      <t xml:space="preserve"> Ao longo do período 2010-2024, 7 casos foram registrados sem informação de sexo na ficha de notificação do SINAN. Esses casos entram no total geral mas não aparecem nas categorias Masculino ou Feminino, gerando pequenas divergências entre os totais.</t>
    </r>
  </si>
  <si>
    <r>
      <t>5. Casos com região ignorada ou exterior</t>
    </r>
    <r>
      <rPr>
        <sz val="11"/>
        <color theme="1"/>
        <rFont val="Calibri"/>
        <family val="2"/>
        <scheme val="minor"/>
      </rPr>
      <t xml:space="preserve"> 13 casos no período total foram registrados sem região de residência identificada ou com residência fora do Brasil. Esses casos foram excluídos da análise regional.</t>
    </r>
  </si>
  <si>
    <r>
      <t>6. Queda em 2020 — impacto da pandemia de COVID-19</t>
    </r>
    <r>
      <rPr>
        <sz val="11"/>
        <color theme="1"/>
        <rFont val="Calibri"/>
        <family val="2"/>
        <scheme val="minor"/>
      </rPr>
      <t xml:space="preserve"> A redução observada nos casos em 2020 não representa uma queda real da doença. A pandemia de COVID-19 sobrecarregou os serviços de saúde e reduziu o acesso da população aos serviços de diagnóstico e notificação, gerando subnotificação temporária. A tendência de crescimento foi retomada a partir de 2021.</t>
    </r>
  </si>
  <si>
    <r>
      <t>7. Dados populacionais — projeções do IBGE</t>
    </r>
    <r>
      <rPr>
        <sz val="11"/>
        <color theme="1"/>
        <rFont val="Calibri"/>
        <family val="2"/>
        <scheme val="minor"/>
      </rPr>
      <t xml:space="preserve"> Os dados populacionais utilizados para o cálculo das taxas são projeções baseadas no Censo Demográfico de 2022. Os anos anteriores a 2022 são retroprojeções e os anos posteriores são estimativas futuras, não contagens reais da população.</t>
    </r>
  </si>
  <si>
    <t>Fontes dos dados</t>
  </si>
  <si>
    <t>1. Casos de AIDS Ministério da Saúde — Sistema de Informação de Agravos de Notificação (SINAN) Acesso via DATASUS/TabNet Disponível em: datasus.saude.gov.br Dados consolidados até 30/09/2025. Página atualizada em 03/12/2025.</t>
  </si>
  <si>
    <t>2. População brasileira Instituto Brasileiro de Geografia e Estatística (IBGE) Tabela 7358 — População, por sexo e idade Projeção da População — Ano de edição 2018 Disponível em: sidra.ibge.gov.br/Tabela/7358</t>
  </si>
  <si>
    <t>3. Referência epidemiológica Ministério da Saúde — Boletim Epidemiológico HIV/AIDS Departamento de HIV, Aids, Tuberculose, Hepatites Virais e Infecções Sexualmente Transmissíveis (Dathi) Disponível em: gov.br/aids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</si>
</sst>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Red]#,##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indexed="64"/>
      <name val="Calibri"/>
      <family val="2"/>
      <scheme val="minor"/>
    </font>
    <font>
      <b/>
      <sz val="11"/>
      <color indexed="64"/>
      <name val="Calibri"/>
      <family val="2"/>
      <scheme val="minor"/>
    </font>
    <font>
      <b/>
      <sz val="16"/>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9" fillId="0" borderId="0"/>
  </cellStyleXfs>
  <cellXfs count="32">
    <xf numFmtId="0" fontId="0" fillId="0" borderId="0" xfId="0"/>
    <xf numFmtId="0" fontId="19" fillId="0" borderId="0" xfId="43"/>
    <xf numFmtId="0" fontId="0" fillId="0" borderId="13" xfId="0" applyBorder="1"/>
    <xf numFmtId="0" fontId="19" fillId="0" borderId="13" xfId="43" applyBorder="1"/>
    <xf numFmtId="164" fontId="0" fillId="0" borderId="13" xfId="42" applyNumberFormat="1" applyFont="1" applyBorder="1"/>
    <xf numFmtId="165" fontId="0" fillId="0" borderId="13" xfId="0" applyNumberFormat="1" applyBorder="1"/>
    <xf numFmtId="3" fontId="0" fillId="0" borderId="13" xfId="0" applyNumberFormat="1" applyBorder="1"/>
    <xf numFmtId="0" fontId="19" fillId="0" borderId="14" xfId="43" applyBorder="1"/>
    <xf numFmtId="0" fontId="0" fillId="0" borderId="13" xfId="0" applyBorder="1" applyAlignment="1">
      <alignment horizontal="left"/>
    </xf>
    <xf numFmtId="0" fontId="19" fillId="0" borderId="13" xfId="43" applyBorder="1" applyAlignment="1">
      <alignment horizontal="left"/>
    </xf>
    <xf numFmtId="0" fontId="18" fillId="0" borderId="13" xfId="0" applyFont="1" applyBorder="1" applyAlignment="1">
      <alignment horizontal="center" vertic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21" fillId="0" borderId="12" xfId="0" applyFont="1" applyBorder="1" applyAlignment="1">
      <alignment horizontal="center" vertical="center"/>
    </xf>
    <xf numFmtId="0" fontId="21" fillId="0" borderId="13" xfId="0" applyFont="1" applyBorder="1" applyAlignment="1">
      <alignment horizontal="center" vertical="center"/>
    </xf>
    <xf numFmtId="3" fontId="0" fillId="0" borderId="10" xfId="0" applyNumberFormat="1" applyBorder="1" applyAlignment="1">
      <alignment horizontal="center"/>
    </xf>
    <xf numFmtId="3" fontId="0" fillId="0" borderId="12" xfId="0" applyNumberFormat="1" applyBorder="1" applyAlignment="1">
      <alignment horizontal="center"/>
    </xf>
    <xf numFmtId="3" fontId="19" fillId="0" borderId="10" xfId="43" applyNumberFormat="1" applyBorder="1" applyAlignment="1">
      <alignment horizontal="center"/>
    </xf>
    <xf numFmtId="3" fontId="19" fillId="0" borderId="12" xfId="43" applyNumberFormat="1" applyBorder="1" applyAlignment="1">
      <alignment horizontal="center"/>
    </xf>
    <xf numFmtId="0" fontId="20" fillId="0" borderId="13" xfId="43" applyFont="1" applyBorder="1" applyAlignment="1">
      <alignment horizontal="center" wrapText="1"/>
    </xf>
    <xf numFmtId="0" fontId="0" fillId="0" borderId="10" xfId="0" applyBorder="1" applyAlignment="1">
      <alignment horizontal="center"/>
    </xf>
    <xf numFmtId="0" fontId="0" fillId="0" borderId="12" xfId="0" applyBorder="1" applyAlignment="1">
      <alignment horizontal="center"/>
    </xf>
    <xf numFmtId="0" fontId="19" fillId="0" borderId="0" xfId="43"/>
    <xf numFmtId="0" fontId="19" fillId="0" borderId="0" xfId="43" applyAlignment="1">
      <alignment vertical="top"/>
    </xf>
    <xf numFmtId="0" fontId="16" fillId="0" borderId="0" xfId="0" applyFont="1" applyAlignment="1">
      <alignment wrapText="1"/>
    </xf>
    <xf numFmtId="0" fontId="16" fillId="0" borderId="0" xfId="0" applyFont="1" applyAlignment="1">
      <alignment vertical="top" wrapText="1"/>
    </xf>
    <xf numFmtId="0" fontId="0" fillId="0" borderId="0" xfId="0" applyAlignment="1">
      <alignment wrapText="1"/>
    </xf>
    <xf numFmtId="0" fontId="1" fillId="14" borderId="16" xfId="23" applyBorder="1"/>
    <xf numFmtId="0" fontId="1" fillId="14" borderId="16" xfId="23" applyBorder="1" applyAlignment="1">
      <alignment vertical="top" wrapText="1"/>
    </xf>
    <xf numFmtId="0" fontId="1" fillId="14" borderId="17" xfId="23" applyBorder="1" applyAlignment="1">
      <alignment vertical="top" wrapText="1"/>
    </xf>
    <xf numFmtId="0" fontId="22" fillId="14" borderId="15" xfId="23" applyFont="1" applyBorder="1" applyAlignment="1">
      <alignment horizontal="center"/>
    </xf>
    <xf numFmtId="0" fontId="22" fillId="0" borderId="0" xfId="0" applyFont="1" applyAlignment="1">
      <alignment horizontal="center"/>
    </xf>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rmal 2" xfId="43" xr:uid="{ACEDE10C-22C0-4415-B05F-DB80FC180FE2}"/>
    <cellStyle name="Nota" xfId="15" builtinId="10" customBuiltin="1"/>
    <cellStyle name="Porcentagem" xfId="42" builtinId="5"/>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8">
    <dxf>
      <font>
        <b/>
        <strike val="0"/>
        <outline val="0"/>
        <shadow val="0"/>
        <u val="none"/>
        <vertAlign val="baseline"/>
        <sz val="1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1" i="0" u="none" strike="noStrike" baseline="0">
                <a:solidFill>
                  <a:sysClr val="windowText" lastClr="000000"/>
                </a:solidFill>
              </a:rPr>
              <a:t>Evolução de Casos de AIDS em Pessoas com 60 anos ou mais — Brasil 2010-2024</a:t>
            </a:r>
            <a:endParaRPr lang="pt-BR"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aids_60mais_total!$B$1</c:f>
              <c:strCache>
                <c:ptCount val="1"/>
                <c:pt idx="0">
                  <c:v>Freqüência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0"/>
            <c:marker>
              <c:symbol val="circle"/>
              <c:size val="7"/>
              <c:spPr>
                <a:solidFill>
                  <a:srgbClr val="FF0000"/>
                </a:solidFill>
                <a:ln w="19050">
                  <a:solidFill>
                    <a:schemeClr val="accent1"/>
                  </a:solidFill>
                </a:ln>
                <a:effectLst/>
              </c:spPr>
            </c:marker>
            <c:bubble3D val="0"/>
            <c:extLst>
              <c:ext xmlns:c16="http://schemas.microsoft.com/office/drawing/2014/chart" uri="{C3380CC4-5D6E-409C-BE32-E72D297353CC}">
                <c16:uniqueId val="{00000002-C976-4F60-A0FE-99CDAA4BBB8E}"/>
              </c:ext>
            </c:extLst>
          </c:dPt>
          <c:dPt>
            <c:idx val="14"/>
            <c:marker>
              <c:symbol val="circle"/>
              <c:size val="7"/>
              <c:spPr>
                <a:solidFill>
                  <a:schemeClr val="accent6">
                    <a:lumMod val="75000"/>
                  </a:schemeClr>
                </a:solidFill>
                <a:ln w="9525">
                  <a:solidFill>
                    <a:schemeClr val="accent1"/>
                  </a:solidFill>
                </a:ln>
                <a:effectLst/>
              </c:spPr>
            </c:marker>
            <c:bubble3D val="0"/>
            <c:extLst>
              <c:ext xmlns:c16="http://schemas.microsoft.com/office/drawing/2014/chart" uri="{C3380CC4-5D6E-409C-BE32-E72D297353CC}">
                <c16:uniqueId val="{00000003-C976-4F60-A0FE-99CDAA4BBB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aids_60mais_total!$A$2:$A$16</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aids_60mais_total!$B$2:$B$16</c:f>
              <c:numCache>
                <c:formatCode>General</c:formatCode>
                <c:ptCount val="15"/>
                <c:pt idx="0">
                  <c:v>1531</c:v>
                </c:pt>
                <c:pt idx="1">
                  <c:v>1748</c:v>
                </c:pt>
                <c:pt idx="2">
                  <c:v>1803</c:v>
                </c:pt>
                <c:pt idx="3">
                  <c:v>2049</c:v>
                </c:pt>
                <c:pt idx="4">
                  <c:v>2034</c:v>
                </c:pt>
                <c:pt idx="5">
                  <c:v>2080</c:v>
                </c:pt>
                <c:pt idx="6">
                  <c:v>2210</c:v>
                </c:pt>
                <c:pt idx="7">
                  <c:v>2278</c:v>
                </c:pt>
                <c:pt idx="8">
                  <c:v>2450</c:v>
                </c:pt>
                <c:pt idx="9">
                  <c:v>2441</c:v>
                </c:pt>
                <c:pt idx="10">
                  <c:v>1954</c:v>
                </c:pt>
                <c:pt idx="11">
                  <c:v>2400</c:v>
                </c:pt>
                <c:pt idx="12">
                  <c:v>2603</c:v>
                </c:pt>
                <c:pt idx="13">
                  <c:v>2828</c:v>
                </c:pt>
                <c:pt idx="14">
                  <c:v>2973</c:v>
                </c:pt>
              </c:numCache>
            </c:numRef>
          </c:val>
          <c:smooth val="0"/>
          <c:extLst>
            <c:ext xmlns:c16="http://schemas.microsoft.com/office/drawing/2014/chart" uri="{C3380CC4-5D6E-409C-BE32-E72D297353CC}">
              <c16:uniqueId val="{00000000-C976-4F60-A0FE-99CDAA4BBB8E}"/>
            </c:ext>
          </c:extLst>
        </c:ser>
        <c:dLbls>
          <c:dLblPos val="t"/>
          <c:showLegendKey val="0"/>
          <c:showVal val="1"/>
          <c:showCatName val="0"/>
          <c:showSerName val="0"/>
          <c:showPercent val="0"/>
          <c:showBubbleSize val="0"/>
        </c:dLbls>
        <c:marker val="1"/>
        <c:smooth val="0"/>
        <c:axId val="2111973247"/>
        <c:axId val="2111970847"/>
      </c:lineChart>
      <c:catAx>
        <c:axId val="211197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1" i="0" u="none" strike="noStrike" baseline="0">
                    <a:solidFill>
                      <a:sysClr val="windowText" lastClr="000000"/>
                    </a:solidFill>
                  </a:rPr>
                  <a:t>Ano</a:t>
                </a:r>
                <a:endParaRPr lang="pt-BR"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11970847"/>
        <c:crosses val="autoZero"/>
        <c:auto val="1"/>
        <c:lblAlgn val="ctr"/>
        <c:lblOffset val="100"/>
        <c:noMultiLvlLbl val="0"/>
      </c:catAx>
      <c:valAx>
        <c:axId val="211197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1" i="0" u="none" strike="noStrike" baseline="0">
                    <a:solidFill>
                      <a:sysClr val="windowText" lastClr="000000"/>
                    </a:solidFill>
                  </a:rPr>
                  <a:t>Nº de Casos</a:t>
                </a:r>
                <a:endParaRPr lang="pt-BR"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1197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1" i="0" u="none" strike="noStrike" baseline="0">
                <a:solidFill>
                  <a:schemeClr val="tx1"/>
                </a:solidFill>
              </a:rPr>
              <a:t>Casos de AIDS em Pessoas com 60 anos ou mais por Sexo — Brasil 2010-2024</a:t>
            </a:r>
            <a:endParaRPr lang="pt-BR"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aids_60mais_sexo!$B$1</c:f>
              <c:strCache>
                <c:ptCount val="1"/>
                <c:pt idx="0">
                  <c:v>Masculino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aids_60mais_sexo!$A$2:$A$16</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aids_60mais_sexo!$B$2:$B$16</c:f>
              <c:numCache>
                <c:formatCode>General</c:formatCode>
                <c:ptCount val="15"/>
                <c:pt idx="0">
                  <c:v>920</c:v>
                </c:pt>
                <c:pt idx="1">
                  <c:v>1043</c:v>
                </c:pt>
                <c:pt idx="2">
                  <c:v>1098</c:v>
                </c:pt>
                <c:pt idx="3">
                  <c:v>1267</c:v>
                </c:pt>
                <c:pt idx="4">
                  <c:v>1284</c:v>
                </c:pt>
                <c:pt idx="5">
                  <c:v>1280</c:v>
                </c:pt>
                <c:pt idx="6">
                  <c:v>1366</c:v>
                </c:pt>
                <c:pt idx="7">
                  <c:v>1430</c:v>
                </c:pt>
                <c:pt idx="8">
                  <c:v>1576</c:v>
                </c:pt>
                <c:pt idx="9">
                  <c:v>1538</c:v>
                </c:pt>
                <c:pt idx="10">
                  <c:v>1233</c:v>
                </c:pt>
                <c:pt idx="11">
                  <c:v>1539</c:v>
                </c:pt>
                <c:pt idx="12">
                  <c:v>1610</c:v>
                </c:pt>
                <c:pt idx="13">
                  <c:v>1758</c:v>
                </c:pt>
                <c:pt idx="14">
                  <c:v>1855</c:v>
                </c:pt>
              </c:numCache>
            </c:numRef>
          </c:val>
          <c:smooth val="0"/>
          <c:extLst>
            <c:ext xmlns:c16="http://schemas.microsoft.com/office/drawing/2014/chart" uri="{C3380CC4-5D6E-409C-BE32-E72D297353CC}">
              <c16:uniqueId val="{00000000-B01F-4169-AD68-FF10DA6849D5}"/>
            </c:ext>
          </c:extLst>
        </c:ser>
        <c:ser>
          <c:idx val="1"/>
          <c:order val="1"/>
          <c:tx>
            <c:strRef>
              <c:f>aids_60mais_sexo!$C$1</c:f>
              <c:strCache>
                <c:ptCount val="1"/>
                <c:pt idx="0">
                  <c:v>Feminino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aids_60mais_sexo!$A$2:$A$16</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aids_60mais_sexo!$C$2:$C$16</c:f>
              <c:numCache>
                <c:formatCode>General</c:formatCode>
                <c:ptCount val="15"/>
                <c:pt idx="0">
                  <c:v>611</c:v>
                </c:pt>
                <c:pt idx="1">
                  <c:v>705</c:v>
                </c:pt>
                <c:pt idx="2">
                  <c:v>705</c:v>
                </c:pt>
                <c:pt idx="3">
                  <c:v>782</c:v>
                </c:pt>
                <c:pt idx="4">
                  <c:v>750</c:v>
                </c:pt>
                <c:pt idx="5">
                  <c:v>800</c:v>
                </c:pt>
                <c:pt idx="6">
                  <c:v>841</c:v>
                </c:pt>
                <c:pt idx="7">
                  <c:v>847</c:v>
                </c:pt>
                <c:pt idx="8">
                  <c:v>874</c:v>
                </c:pt>
                <c:pt idx="9">
                  <c:v>903</c:v>
                </c:pt>
                <c:pt idx="10">
                  <c:v>720</c:v>
                </c:pt>
                <c:pt idx="11">
                  <c:v>861</c:v>
                </c:pt>
                <c:pt idx="12">
                  <c:v>993</c:v>
                </c:pt>
                <c:pt idx="13">
                  <c:v>1070</c:v>
                </c:pt>
                <c:pt idx="14">
                  <c:v>1116</c:v>
                </c:pt>
              </c:numCache>
            </c:numRef>
          </c:val>
          <c:smooth val="0"/>
          <c:extLst>
            <c:ext xmlns:c16="http://schemas.microsoft.com/office/drawing/2014/chart" uri="{C3380CC4-5D6E-409C-BE32-E72D297353CC}">
              <c16:uniqueId val="{00000001-B01F-4169-AD68-FF10DA6849D5}"/>
            </c:ext>
          </c:extLst>
        </c:ser>
        <c:dLbls>
          <c:dLblPos val="t"/>
          <c:showLegendKey val="0"/>
          <c:showVal val="1"/>
          <c:showCatName val="0"/>
          <c:showSerName val="0"/>
          <c:showPercent val="0"/>
          <c:showBubbleSize val="0"/>
        </c:dLbls>
        <c:marker val="1"/>
        <c:smooth val="0"/>
        <c:axId val="1024378991"/>
        <c:axId val="1024379471"/>
      </c:lineChart>
      <c:catAx>
        <c:axId val="1024378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1" i="0" u="none" strike="noStrike" baseline="0">
                    <a:solidFill>
                      <a:schemeClr val="tx1"/>
                    </a:solidFill>
                  </a:rPr>
                  <a:t>Ano</a:t>
                </a:r>
                <a:endParaRPr lang="pt-BR"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4379471"/>
        <c:crosses val="autoZero"/>
        <c:auto val="1"/>
        <c:lblAlgn val="ctr"/>
        <c:lblOffset val="100"/>
        <c:noMultiLvlLbl val="0"/>
      </c:catAx>
      <c:valAx>
        <c:axId val="1024379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1" i="0" u="none" strike="noStrike" baseline="0">
                    <a:solidFill>
                      <a:sysClr val="windowText" lastClr="000000"/>
                    </a:solidFill>
                  </a:rPr>
                  <a:t>Nº de Casos</a:t>
                </a:r>
                <a:endParaRPr lang="pt-BR"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4378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chemeClr val="tx1"/>
                </a:solidFill>
              </a:rPr>
              <a:t>Casos de AIDS em Pessoas com 60 anos ou mais por Região — Brasil 2010-2024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aids_60mais_regiao!$B$1</c:f>
              <c:strCache>
                <c:ptCount val="1"/>
                <c:pt idx="0">
                  <c:v>Região Norte</c:v>
                </c:pt>
              </c:strCache>
            </c:strRef>
          </c:tx>
          <c:spPr>
            <a:ln w="28575" cap="rnd">
              <a:solidFill>
                <a:schemeClr val="accent1"/>
              </a:solidFill>
              <a:round/>
            </a:ln>
            <a:effectLst/>
          </c:spPr>
          <c:marker>
            <c:symbol val="none"/>
          </c:marker>
          <c:cat>
            <c:strRef>
              <c:f>aids_60mais_regiao!$A$2:$A$16</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aids_60mais_regiao!$B$2:$B$16</c:f>
              <c:numCache>
                <c:formatCode>General</c:formatCode>
                <c:ptCount val="15"/>
                <c:pt idx="0">
                  <c:v>92</c:v>
                </c:pt>
                <c:pt idx="1">
                  <c:v>113</c:v>
                </c:pt>
                <c:pt idx="2">
                  <c:v>112</c:v>
                </c:pt>
                <c:pt idx="3">
                  <c:v>148</c:v>
                </c:pt>
                <c:pt idx="4">
                  <c:v>178</c:v>
                </c:pt>
                <c:pt idx="5">
                  <c:v>167</c:v>
                </c:pt>
                <c:pt idx="6">
                  <c:v>196</c:v>
                </c:pt>
                <c:pt idx="7">
                  <c:v>196</c:v>
                </c:pt>
                <c:pt idx="8">
                  <c:v>235</c:v>
                </c:pt>
                <c:pt idx="9">
                  <c:v>191</c:v>
                </c:pt>
                <c:pt idx="10">
                  <c:v>162</c:v>
                </c:pt>
                <c:pt idx="11">
                  <c:v>234</c:v>
                </c:pt>
                <c:pt idx="12">
                  <c:v>263</c:v>
                </c:pt>
                <c:pt idx="13">
                  <c:v>320</c:v>
                </c:pt>
                <c:pt idx="14">
                  <c:v>335</c:v>
                </c:pt>
              </c:numCache>
            </c:numRef>
          </c:val>
          <c:smooth val="0"/>
          <c:extLst>
            <c:ext xmlns:c16="http://schemas.microsoft.com/office/drawing/2014/chart" uri="{C3380CC4-5D6E-409C-BE32-E72D297353CC}">
              <c16:uniqueId val="{00000000-79B3-4BA9-A4B2-4BAF3CD4D051}"/>
            </c:ext>
          </c:extLst>
        </c:ser>
        <c:ser>
          <c:idx val="1"/>
          <c:order val="1"/>
          <c:tx>
            <c:strRef>
              <c:f>aids_60mais_regiao!$C$1</c:f>
              <c:strCache>
                <c:ptCount val="1"/>
                <c:pt idx="0">
                  <c:v>Região Nordeste</c:v>
                </c:pt>
              </c:strCache>
            </c:strRef>
          </c:tx>
          <c:spPr>
            <a:ln w="28575" cap="rnd">
              <a:solidFill>
                <a:schemeClr val="accent2"/>
              </a:solidFill>
              <a:round/>
            </a:ln>
            <a:effectLst/>
          </c:spPr>
          <c:marker>
            <c:symbol val="none"/>
          </c:marker>
          <c:cat>
            <c:strRef>
              <c:f>aids_60mais_regiao!$A$2:$A$16</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aids_60mais_regiao!$C$2:$C$16</c:f>
              <c:numCache>
                <c:formatCode>General</c:formatCode>
                <c:ptCount val="15"/>
                <c:pt idx="0">
                  <c:v>237</c:v>
                </c:pt>
                <c:pt idx="1">
                  <c:v>283</c:v>
                </c:pt>
                <c:pt idx="2">
                  <c:v>326</c:v>
                </c:pt>
                <c:pt idx="3">
                  <c:v>409</c:v>
                </c:pt>
                <c:pt idx="4">
                  <c:v>407</c:v>
                </c:pt>
                <c:pt idx="5">
                  <c:v>408</c:v>
                </c:pt>
                <c:pt idx="6">
                  <c:v>483</c:v>
                </c:pt>
                <c:pt idx="7">
                  <c:v>476</c:v>
                </c:pt>
                <c:pt idx="8">
                  <c:v>551</c:v>
                </c:pt>
                <c:pt idx="9">
                  <c:v>569</c:v>
                </c:pt>
                <c:pt idx="10">
                  <c:v>418</c:v>
                </c:pt>
                <c:pt idx="11">
                  <c:v>546</c:v>
                </c:pt>
                <c:pt idx="12">
                  <c:v>599</c:v>
                </c:pt>
                <c:pt idx="13">
                  <c:v>650</c:v>
                </c:pt>
                <c:pt idx="14">
                  <c:v>716</c:v>
                </c:pt>
              </c:numCache>
            </c:numRef>
          </c:val>
          <c:smooth val="0"/>
          <c:extLst>
            <c:ext xmlns:c16="http://schemas.microsoft.com/office/drawing/2014/chart" uri="{C3380CC4-5D6E-409C-BE32-E72D297353CC}">
              <c16:uniqueId val="{00000001-79B3-4BA9-A4B2-4BAF3CD4D051}"/>
            </c:ext>
          </c:extLst>
        </c:ser>
        <c:ser>
          <c:idx val="2"/>
          <c:order val="2"/>
          <c:tx>
            <c:strRef>
              <c:f>aids_60mais_regiao!$D$1</c:f>
              <c:strCache>
                <c:ptCount val="1"/>
                <c:pt idx="0">
                  <c:v>Região Sudeste</c:v>
                </c:pt>
              </c:strCache>
            </c:strRef>
          </c:tx>
          <c:spPr>
            <a:ln w="28575" cap="rnd">
              <a:solidFill>
                <a:schemeClr val="accent3"/>
              </a:solidFill>
              <a:round/>
            </a:ln>
            <a:effectLst/>
          </c:spPr>
          <c:marker>
            <c:symbol val="none"/>
          </c:marker>
          <c:cat>
            <c:strRef>
              <c:f>aids_60mais_regiao!$A$2:$A$16</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aids_60mais_regiao!$D$2:$D$16</c:f>
              <c:numCache>
                <c:formatCode>General</c:formatCode>
                <c:ptCount val="15"/>
                <c:pt idx="0">
                  <c:v>739</c:v>
                </c:pt>
                <c:pt idx="1">
                  <c:v>794</c:v>
                </c:pt>
                <c:pt idx="2">
                  <c:v>767</c:v>
                </c:pt>
                <c:pt idx="3">
                  <c:v>865</c:v>
                </c:pt>
                <c:pt idx="4">
                  <c:v>817</c:v>
                </c:pt>
                <c:pt idx="5">
                  <c:v>835</c:v>
                </c:pt>
                <c:pt idx="6">
                  <c:v>841</c:v>
                </c:pt>
                <c:pt idx="7">
                  <c:v>875</c:v>
                </c:pt>
                <c:pt idx="8">
                  <c:v>908</c:v>
                </c:pt>
                <c:pt idx="9">
                  <c:v>899</c:v>
                </c:pt>
                <c:pt idx="10">
                  <c:v>754</c:v>
                </c:pt>
                <c:pt idx="11">
                  <c:v>883</c:v>
                </c:pt>
                <c:pt idx="12">
                  <c:v>929</c:v>
                </c:pt>
                <c:pt idx="13">
                  <c:v>1009</c:v>
                </c:pt>
                <c:pt idx="14">
                  <c:v>1027</c:v>
                </c:pt>
              </c:numCache>
            </c:numRef>
          </c:val>
          <c:smooth val="0"/>
          <c:extLst>
            <c:ext xmlns:c16="http://schemas.microsoft.com/office/drawing/2014/chart" uri="{C3380CC4-5D6E-409C-BE32-E72D297353CC}">
              <c16:uniqueId val="{00000002-79B3-4BA9-A4B2-4BAF3CD4D051}"/>
            </c:ext>
          </c:extLst>
        </c:ser>
        <c:ser>
          <c:idx val="3"/>
          <c:order val="3"/>
          <c:tx>
            <c:strRef>
              <c:f>aids_60mais_regiao!$E$1</c:f>
              <c:strCache>
                <c:ptCount val="1"/>
                <c:pt idx="0">
                  <c:v>Região Sul</c:v>
                </c:pt>
              </c:strCache>
            </c:strRef>
          </c:tx>
          <c:spPr>
            <a:ln w="28575" cap="rnd">
              <a:solidFill>
                <a:schemeClr val="accent4"/>
              </a:solidFill>
              <a:round/>
            </a:ln>
            <a:effectLst/>
          </c:spPr>
          <c:marker>
            <c:symbol val="none"/>
          </c:marker>
          <c:cat>
            <c:strRef>
              <c:f>aids_60mais_regiao!$A$2:$A$16</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aids_60mais_regiao!$E$2:$E$16</c:f>
              <c:numCache>
                <c:formatCode>General</c:formatCode>
                <c:ptCount val="15"/>
                <c:pt idx="0">
                  <c:v>378</c:v>
                </c:pt>
                <c:pt idx="1">
                  <c:v>442</c:v>
                </c:pt>
                <c:pt idx="2">
                  <c:v>476</c:v>
                </c:pt>
                <c:pt idx="3">
                  <c:v>486</c:v>
                </c:pt>
                <c:pt idx="4">
                  <c:v>486</c:v>
                </c:pt>
                <c:pt idx="5">
                  <c:v>548</c:v>
                </c:pt>
                <c:pt idx="6">
                  <c:v>540</c:v>
                </c:pt>
                <c:pt idx="7">
                  <c:v>529</c:v>
                </c:pt>
                <c:pt idx="8">
                  <c:v>601</c:v>
                </c:pt>
                <c:pt idx="9">
                  <c:v>596</c:v>
                </c:pt>
                <c:pt idx="10">
                  <c:v>491</c:v>
                </c:pt>
                <c:pt idx="11">
                  <c:v>551</c:v>
                </c:pt>
                <c:pt idx="12">
                  <c:v>623</c:v>
                </c:pt>
                <c:pt idx="13">
                  <c:v>627</c:v>
                </c:pt>
                <c:pt idx="14">
                  <c:v>668</c:v>
                </c:pt>
              </c:numCache>
            </c:numRef>
          </c:val>
          <c:smooth val="0"/>
          <c:extLst>
            <c:ext xmlns:c16="http://schemas.microsoft.com/office/drawing/2014/chart" uri="{C3380CC4-5D6E-409C-BE32-E72D297353CC}">
              <c16:uniqueId val="{00000003-79B3-4BA9-A4B2-4BAF3CD4D051}"/>
            </c:ext>
          </c:extLst>
        </c:ser>
        <c:ser>
          <c:idx val="4"/>
          <c:order val="4"/>
          <c:tx>
            <c:strRef>
              <c:f>aids_60mais_regiao!$F$1</c:f>
              <c:strCache>
                <c:ptCount val="1"/>
                <c:pt idx="0">
                  <c:v>Região Centro-Oeste</c:v>
                </c:pt>
              </c:strCache>
            </c:strRef>
          </c:tx>
          <c:spPr>
            <a:ln w="28575" cap="rnd">
              <a:solidFill>
                <a:schemeClr val="accent5"/>
              </a:solidFill>
              <a:round/>
            </a:ln>
            <a:effectLst/>
          </c:spPr>
          <c:marker>
            <c:symbol val="none"/>
          </c:marker>
          <c:cat>
            <c:strRef>
              <c:f>aids_60mais_regiao!$A$2:$A$16</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aids_60mais_regiao!$F$2:$F$16</c:f>
              <c:numCache>
                <c:formatCode>General</c:formatCode>
                <c:ptCount val="15"/>
                <c:pt idx="0">
                  <c:v>84</c:v>
                </c:pt>
                <c:pt idx="1">
                  <c:v>111</c:v>
                </c:pt>
                <c:pt idx="2">
                  <c:v>119</c:v>
                </c:pt>
                <c:pt idx="3">
                  <c:v>140</c:v>
                </c:pt>
                <c:pt idx="4">
                  <c:v>146</c:v>
                </c:pt>
                <c:pt idx="5">
                  <c:v>122</c:v>
                </c:pt>
                <c:pt idx="6">
                  <c:v>150</c:v>
                </c:pt>
                <c:pt idx="7">
                  <c:v>200</c:v>
                </c:pt>
                <c:pt idx="8">
                  <c:v>154</c:v>
                </c:pt>
                <c:pt idx="9">
                  <c:v>186</c:v>
                </c:pt>
                <c:pt idx="10">
                  <c:v>129</c:v>
                </c:pt>
                <c:pt idx="11">
                  <c:v>185</c:v>
                </c:pt>
                <c:pt idx="12">
                  <c:v>189</c:v>
                </c:pt>
                <c:pt idx="13">
                  <c:v>222</c:v>
                </c:pt>
                <c:pt idx="14">
                  <c:v>227</c:v>
                </c:pt>
              </c:numCache>
            </c:numRef>
          </c:val>
          <c:smooth val="0"/>
          <c:extLst>
            <c:ext xmlns:c16="http://schemas.microsoft.com/office/drawing/2014/chart" uri="{C3380CC4-5D6E-409C-BE32-E72D297353CC}">
              <c16:uniqueId val="{00000004-79B3-4BA9-A4B2-4BAF3CD4D051}"/>
            </c:ext>
          </c:extLst>
        </c:ser>
        <c:dLbls>
          <c:showLegendKey val="0"/>
          <c:showVal val="0"/>
          <c:showCatName val="0"/>
          <c:showSerName val="0"/>
          <c:showPercent val="0"/>
          <c:showBubbleSize val="0"/>
        </c:dLbls>
        <c:smooth val="0"/>
        <c:axId val="246538304"/>
        <c:axId val="246555104"/>
      </c:lineChart>
      <c:catAx>
        <c:axId val="2465383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pt-BR" sz="1100" b="1">
                    <a:solidFill>
                      <a:schemeClr val="tx1"/>
                    </a:solidFill>
                  </a:rPr>
                  <a:t>Ano</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46555104"/>
        <c:crosses val="autoZero"/>
        <c:auto val="1"/>
        <c:lblAlgn val="ctr"/>
        <c:lblOffset val="100"/>
        <c:noMultiLvlLbl val="0"/>
      </c:catAx>
      <c:valAx>
        <c:axId val="246555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pt-BR" sz="1200" b="1" i="0" u="none" strike="noStrike" baseline="0">
                    <a:solidFill>
                      <a:schemeClr val="tx1"/>
                    </a:solidFill>
                  </a:rPr>
                  <a:t>Nº de Casos</a:t>
                </a:r>
                <a:endParaRPr lang="pt-BR" sz="1200" b="1">
                  <a:solidFill>
                    <a:schemeClr val="tx1"/>
                  </a:solidFill>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46538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19048</xdr:colOff>
      <xdr:row>0</xdr:row>
      <xdr:rowOff>28574</xdr:rowOff>
    </xdr:from>
    <xdr:to>
      <xdr:col>16</xdr:col>
      <xdr:colOff>0</xdr:colOff>
      <xdr:row>16</xdr:row>
      <xdr:rowOff>38099</xdr:rowOff>
    </xdr:to>
    <xdr:graphicFrame macro="">
      <xdr:nvGraphicFramePr>
        <xdr:cNvPr id="2" name="Gráfico 1">
          <a:extLst>
            <a:ext uri="{FF2B5EF4-FFF2-40B4-BE49-F238E27FC236}">
              <a16:creationId xmlns:a16="http://schemas.microsoft.com/office/drawing/2014/main" id="{5978EF5B-F34A-40E2-A940-152F1817F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16566</xdr:colOff>
      <xdr:row>16</xdr:row>
      <xdr:rowOff>29816</xdr:rowOff>
    </xdr:from>
    <xdr:ext cx="6690348" cy="781240"/>
    <xdr:sp macro="" textlink="">
      <xdr:nvSpPr>
        <xdr:cNvPr id="3" name="CaixaDeTexto 2">
          <a:extLst>
            <a:ext uri="{FF2B5EF4-FFF2-40B4-BE49-F238E27FC236}">
              <a16:creationId xmlns:a16="http://schemas.microsoft.com/office/drawing/2014/main" id="{AEB634E7-4645-AF06-28FE-22DFD640064D}"/>
            </a:ext>
          </a:extLst>
        </xdr:cNvPr>
        <xdr:cNvSpPr txBox="1"/>
      </xdr:nvSpPr>
      <xdr:spPr>
        <a:xfrm>
          <a:off x="16566" y="3077816"/>
          <a:ext cx="6690348" cy="78124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a:solidFill>
                <a:schemeClr val="tx1">
                  <a:lumMod val="85000"/>
                  <a:lumOff val="15000"/>
                </a:schemeClr>
              </a:solidFill>
            </a:rPr>
            <a:t>Entre 2010 e 2024, os casos de AIDS em pessoas com 60 anos ou mais cresceram 94%, saindo de 1.531 para 2.973 casos anuais. A queda observada em 2020 reflete o impacto da pandemia de COVID-19 na notificação dos casos, e não uma redução real da doença. A partir de 2021 a tendência de crescimento foi retomada, atingindo o maior valor histórico do período em 2023 e 2024.</a:t>
          </a:r>
          <a:endParaRPr lang="pt-BR" sz="1100">
            <a:solidFill>
              <a:schemeClr val="tx1">
                <a:lumMod val="85000"/>
                <a:lumOff val="15000"/>
              </a:schemeClr>
            </a:solidFill>
          </a:endParaRPr>
        </a:p>
      </xdr:txBody>
    </xdr:sp>
    <xdr:clientData/>
  </xdr:oneCellAnchor>
  <xdr:twoCellAnchor>
    <xdr:from>
      <xdr:col>0</xdr:col>
      <xdr:colOff>0</xdr:colOff>
      <xdr:row>22</xdr:row>
      <xdr:rowOff>34567</xdr:rowOff>
    </xdr:from>
    <xdr:to>
      <xdr:col>16</xdr:col>
      <xdr:colOff>73269</xdr:colOff>
      <xdr:row>37</xdr:row>
      <xdr:rowOff>89648</xdr:rowOff>
    </xdr:to>
    <xdr:graphicFrame macro="">
      <xdr:nvGraphicFramePr>
        <xdr:cNvPr id="4" name="Gráfico 1">
          <a:extLst>
            <a:ext uri="{FF2B5EF4-FFF2-40B4-BE49-F238E27FC236}">
              <a16:creationId xmlns:a16="http://schemas.microsoft.com/office/drawing/2014/main" id="{D14F59C5-A206-B227-B8C6-301970D4D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16565</xdr:colOff>
      <xdr:row>37</xdr:row>
      <xdr:rowOff>77411</xdr:rowOff>
    </xdr:from>
    <xdr:ext cx="6725478" cy="953466"/>
    <xdr:sp macro="" textlink="">
      <xdr:nvSpPr>
        <xdr:cNvPr id="5" name="CaixaDeTexto 4">
          <a:extLst>
            <a:ext uri="{FF2B5EF4-FFF2-40B4-BE49-F238E27FC236}">
              <a16:creationId xmlns:a16="http://schemas.microsoft.com/office/drawing/2014/main" id="{D6126918-8AFF-468F-BBDB-D97E5A3F2018}"/>
            </a:ext>
          </a:extLst>
        </xdr:cNvPr>
        <xdr:cNvSpPr txBox="1"/>
      </xdr:nvSpPr>
      <xdr:spPr>
        <a:xfrm>
          <a:off x="16565" y="7125911"/>
          <a:ext cx="6725478" cy="95346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a:t>Ao longo de todo o período, os casos masculinos superaram os femininos. Em 2024, foram 1.855 casos em homens contra 1.116 em mulheres, representando uma proporção de aproximadamente 63% masculino e 37% feminino. Ambos os sexos apresentaram crescimento contínuo, com queda em 2020 associada à pandemia de COVID-19. Pequenas divergências entre o total geral e a soma por sexo em alguns anos refletem os 7 casos registrados com sexo ignorado na ficha de notificação ao longo do período, conforme limitação do sistema SINAN.</a:t>
          </a:r>
          <a:endParaRPr lang="pt-BR" sz="1100">
            <a:solidFill>
              <a:schemeClr val="tx1">
                <a:lumMod val="85000"/>
                <a:lumOff val="15000"/>
              </a:schemeClr>
            </a:solidFill>
          </a:endParaRPr>
        </a:p>
      </xdr:txBody>
    </xdr:sp>
    <xdr:clientData/>
  </xdr:oneCellAnchor>
  <xdr:twoCellAnchor>
    <xdr:from>
      <xdr:col>0</xdr:col>
      <xdr:colOff>6722</xdr:colOff>
      <xdr:row>44</xdr:row>
      <xdr:rowOff>7284</xdr:rowOff>
    </xdr:from>
    <xdr:to>
      <xdr:col>16</xdr:col>
      <xdr:colOff>21981</xdr:colOff>
      <xdr:row>63</xdr:row>
      <xdr:rowOff>33618</xdr:rowOff>
    </xdr:to>
    <xdr:graphicFrame macro="">
      <xdr:nvGraphicFramePr>
        <xdr:cNvPr id="6" name="Gráfico 1">
          <a:extLst>
            <a:ext uri="{FF2B5EF4-FFF2-40B4-BE49-F238E27FC236}">
              <a16:creationId xmlns:a16="http://schemas.microsoft.com/office/drawing/2014/main" id="{02729748-34FA-15AA-358E-B26A1BCD8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63</xdr:row>
      <xdr:rowOff>16899</xdr:rowOff>
    </xdr:from>
    <xdr:ext cx="6725478" cy="781240"/>
    <xdr:sp macro="" textlink="">
      <xdr:nvSpPr>
        <xdr:cNvPr id="7" name="CaixaDeTexto 6">
          <a:extLst>
            <a:ext uri="{FF2B5EF4-FFF2-40B4-BE49-F238E27FC236}">
              <a16:creationId xmlns:a16="http://schemas.microsoft.com/office/drawing/2014/main" id="{1DBEC918-2EE2-4E6A-A5E6-A4227EB34C90}"/>
            </a:ext>
          </a:extLst>
        </xdr:cNvPr>
        <xdr:cNvSpPr txBox="1"/>
      </xdr:nvSpPr>
      <xdr:spPr>
        <a:xfrm>
          <a:off x="0" y="12018399"/>
          <a:ext cx="6725478" cy="78124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a:t>A Região Sudeste concentrou o maior número de casos em todo o período, totalizando 12.942 casos entre 2010 e 2024. O Nordeste apresentou o crescimento mais expressivo proporcionalmente, saindo de 237 casos em 2010 para 716 em 2024 — um aumento de 202%. Todas as regiões registraram queda em 2020 associada à pandemia de COVID-19, com retomada do crescimento a partir de 2021.</a:t>
          </a:r>
          <a:endParaRPr lang="pt-BR" sz="1100">
            <a:solidFill>
              <a:schemeClr val="tx1">
                <a:lumMod val="85000"/>
                <a:lumOff val="15000"/>
              </a:schemeClr>
            </a:solidFill>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4" connectionId="1" xr16:uid="{FA25A2A8-2307-4E6C-8E83-39948555BB2F}" autoFormatId="16" applyNumberFormats="0" applyBorderFormats="0" applyFontFormats="0" applyPatternFormats="0" applyAlignmentFormats="0" applyWidthHeightFormats="0">
  <queryTableRefresh nextId="18" unboundColumnsRight="1">
    <queryTableFields count="17">
      <queryTableField id="1" name="UF Residência" tableColumnId="1"/>
      <queryTableField id="2" name="2010" tableColumnId="2"/>
      <queryTableField id="3" name="2011" tableColumnId="3"/>
      <queryTableField id="4" name="2012" tableColumnId="4"/>
      <queryTableField id="5" name="2013" tableColumnId="5"/>
      <queryTableField id="6" name="2014" tableColumnId="6"/>
      <queryTableField id="7" name="2015" tableColumnId="7"/>
      <queryTableField id="8" name="2016" tableColumnId="8"/>
      <queryTableField id="9" name="2017" tableColumnId="9"/>
      <queryTableField id="10" name="2018" tableColumnId="10"/>
      <queryTableField id="11" name="2019" tableColumnId="11"/>
      <queryTableField id="12" name="2020" tableColumnId="12"/>
      <queryTableField id="13" name="2021" tableColumnId="13"/>
      <queryTableField id="14" name="2022" tableColumnId="14"/>
      <queryTableField id="15" name="2023" tableColumnId="15"/>
      <queryTableField id="16" name="2024" tableColumnId="16"/>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3" connectionId="2" xr16:uid="{E1E96A71-474C-4298-A747-B21D91A8399E}" autoFormatId="16" applyNumberFormats="0" applyBorderFormats="0" applyFontFormats="0" applyPatternFormats="0" applyAlignmentFormats="0" applyWidthHeightFormats="0">
  <queryTableRefresh nextId="9">
    <queryTableFields count="8">
      <queryTableField id="1" name="Ano Diagnóstico" tableColumnId="1"/>
      <queryTableField id="2" name="Região Norte" tableColumnId="2"/>
      <queryTableField id="3" name="Região Nordeste" tableColumnId="3"/>
      <queryTableField id="4" name="Região Sudeste" tableColumnId="4"/>
      <queryTableField id="5" name="Região Sul" tableColumnId="5"/>
      <queryTableField id="6" name="Região Centro-Oeste" tableColumnId="6"/>
      <queryTableField id="7" name="Ignorado/Exterior" tableColumnId="7"/>
      <queryTableField id="8" name="Total"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2" connectionId="3" xr16:uid="{98006BD5-3C59-4182-9A1D-F7F3BDADBB18}" autoFormatId="16" applyNumberFormats="0" applyBorderFormats="0" applyFontFormats="0" applyPatternFormats="0" applyAlignmentFormats="0" applyWidthHeightFormats="0">
  <queryTableRefresh nextId="6">
    <queryTableFields count="5">
      <queryTableField id="1" name="Ano Diagnóstico" tableColumnId="1"/>
      <queryTableField id="2" name="Masculino" tableColumnId="2"/>
      <queryTableField id="3" name="Feminino" tableColumnId="3"/>
      <queryTableField id="4" name="Ignorado" tableColumnId="4"/>
      <queryTableField id="5" name="Total"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 connectionId="4" xr16:uid="{FE13E5F2-6ED4-492B-8EB4-E65CE41C64B4}" autoFormatId="16" applyNumberFormats="0" applyBorderFormats="0" applyFontFormats="0" applyPatternFormats="0" applyAlignmentFormats="0" applyWidthHeightFormats="0">
  <queryTableRefresh nextId="3">
    <queryTableFields count="2">
      <queryTableField id="1" name="Ano Diagnóstico" tableColumnId="1"/>
      <queryTableField id="2" name="Freqüência" tableColumnId="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5FEC47-EF35-47FC-B61E-4CC7EF331BC0}" name="Tabela5" displayName="Tabela5" ref="D2:D10" totalsRowShown="0" headerRowDxfId="0" dataDxfId="1">
  <autoFilter ref="D2:D10" xr:uid="{C35FEC47-EF35-47FC-B61E-4CC7EF331BC0}"/>
  <tableColumns count="1">
    <tableColumn id="1" xr3:uid="{EC1C63A2-4084-4635-B64E-DBAA8444D667}" name="Observações que anotamos ao longo do projeto"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1C28DB-0A03-4ED4-BDB7-C28BFC72B72C}" name="aids_60mais_estado" displayName="aids_60mais_estado" ref="A1:Q29" tableType="queryTable" totalsRowShown="0">
  <autoFilter ref="A1:Q29" xr:uid="{581C28DB-0A03-4ED4-BDB7-C28BFC72B72C}"/>
  <sortState xmlns:xlrd2="http://schemas.microsoft.com/office/spreadsheetml/2017/richdata2" ref="A3:Q29">
    <sortCondition descending="1" ref="Q1:Q29"/>
  </sortState>
  <tableColumns count="17">
    <tableColumn id="1" xr3:uid="{0BE69D40-F7FE-4134-BB24-1742C86DCE89}" uniqueName="1" name="UF Residência" queryTableFieldId="1" dataDxfId="7"/>
    <tableColumn id="2" xr3:uid="{3CEB5B24-46D1-4649-88AF-1C8254648E84}" uniqueName="2" name="2010" queryTableFieldId="2"/>
    <tableColumn id="3" xr3:uid="{8403DFAA-0936-4A63-8FFC-72E490ECA7DC}" uniqueName="3" name="2011" queryTableFieldId="3"/>
    <tableColumn id="4" xr3:uid="{4ADF3CF7-A816-49AD-82C5-F8A285391D71}" uniqueName="4" name="2012" queryTableFieldId="4"/>
    <tableColumn id="5" xr3:uid="{C93697E5-3D11-4ABD-85EC-7B1E684A9F04}" uniqueName="5" name="2013" queryTableFieldId="5"/>
    <tableColumn id="6" xr3:uid="{EED31937-ADD5-479B-B1EC-54DFCDF3FA91}" uniqueName="6" name="2014" queryTableFieldId="6"/>
    <tableColumn id="7" xr3:uid="{68F5CCC0-DB73-427A-AC56-469165F89271}" uniqueName="7" name="2015" queryTableFieldId="7"/>
    <tableColumn id="8" xr3:uid="{088CC958-05E5-421D-99D0-1EA7957E959F}" uniqueName="8" name="2016" queryTableFieldId="8"/>
    <tableColumn id="9" xr3:uid="{4BF0A541-41EE-44F4-9619-565DF3735FF6}" uniqueName="9" name="2017" queryTableFieldId="9"/>
    <tableColumn id="10" xr3:uid="{5AAA11FA-5B93-4BFF-8224-4EAAD8DDA39C}" uniqueName="10" name="2018" queryTableFieldId="10"/>
    <tableColumn id="11" xr3:uid="{1BF2BD37-24CD-44C6-B72B-EA4C97F905D9}" uniqueName="11" name="2019" queryTableFieldId="11"/>
    <tableColumn id="12" xr3:uid="{4ABCFB94-61F7-460E-9766-CEDF52AEEDC0}" uniqueName="12" name="2020" queryTableFieldId="12"/>
    <tableColumn id="13" xr3:uid="{9DB9266C-892A-43B0-92C2-7F58B6382FF8}" uniqueName="13" name="2021" queryTableFieldId="13"/>
    <tableColumn id="14" xr3:uid="{093D532D-7231-4579-995D-A38084AF0ACE}" uniqueName="14" name="2022" queryTableFieldId="14"/>
    <tableColumn id="15" xr3:uid="{241A055B-1C8D-40D6-B501-BE936770EF64}" uniqueName="15" name="2023" queryTableFieldId="15"/>
    <tableColumn id="16" xr3:uid="{810DB785-16FB-4D40-B02A-F0E9C43233FC}" uniqueName="16" name="2024" queryTableFieldId="16"/>
    <tableColumn id="17" xr3:uid="{13290EA7-FADD-4BFD-9F8C-F56D38394E61}" uniqueName="17" name="Total" queryTableFieldId="17" dataDxfId="6">
      <calculatedColumnFormula>SUM(aids_60mais_estado[[#This Row],[2010]:[2024]])</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9B2C69-6E31-44EE-A879-F1903BC08000}" name="aids_60mais_regiao" displayName="aids_60mais_regiao" ref="A1:H16" tableType="queryTable" totalsRowShown="0">
  <autoFilter ref="A1:H16" xr:uid="{679B2C69-6E31-44EE-A879-F1903BC08000}"/>
  <tableColumns count="8">
    <tableColumn id="1" xr3:uid="{FB637B09-9B6F-4D72-9F39-298A39FAB604}" uniqueName="1" name="Ano Diagnóstico" queryTableFieldId="1" dataDxfId="5"/>
    <tableColumn id="2" xr3:uid="{C0E1E3FF-A1CB-49FE-8B1F-B098CECD0EEA}" uniqueName="2" name="Região Norte" queryTableFieldId="2"/>
    <tableColumn id="3" xr3:uid="{34ED0912-EDEF-4D9B-BD25-2BDF3BF3605A}" uniqueName="3" name="Região Nordeste" queryTableFieldId="3"/>
    <tableColumn id="4" xr3:uid="{C416BE18-455A-4994-A06A-9752A250A399}" uniqueName="4" name="Região Sudeste" queryTableFieldId="4"/>
    <tableColumn id="5" xr3:uid="{C20B7546-6283-45A0-89A1-FD8F4E0703D4}" uniqueName="5" name="Região Sul" queryTableFieldId="5"/>
    <tableColumn id="6" xr3:uid="{6585F887-43C4-4487-939F-1EC423CAAEF3}" uniqueName="6" name="Região Centro-Oeste" queryTableFieldId="6"/>
    <tableColumn id="7" xr3:uid="{6A9D56F1-F901-4D15-957B-BA29B9EF9D02}" uniqueName="7" name="Ignorado/Exterior" queryTableFieldId="7"/>
    <tableColumn id="8" xr3:uid="{48A51B0B-10E8-47B2-ADE8-E6AE20918C1A}" uniqueName="8" name="Total"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040FA9-AF73-4F14-AF58-DB1FD2066818}" name="aids_60mais_sexo" displayName="aids_60mais_sexo" ref="A1:E16" tableType="queryTable" totalsRowShown="0">
  <autoFilter ref="A1:E16" xr:uid="{FE040FA9-AF73-4F14-AF58-DB1FD2066818}"/>
  <tableColumns count="5">
    <tableColumn id="1" xr3:uid="{F8210317-B51B-4FAD-A69E-A1352CE25B91}" uniqueName="1" name="Ano Diagnóstico" queryTableFieldId="1" dataDxfId="4"/>
    <tableColumn id="2" xr3:uid="{4E01E953-D8AC-4254-9F6F-4875B4660FAE}" uniqueName="2" name="Masculino" queryTableFieldId="2"/>
    <tableColumn id="3" xr3:uid="{82CB3887-5CD2-4C2F-B6BC-D15D3A918F4A}" uniqueName="3" name="Feminino" queryTableFieldId="3"/>
    <tableColumn id="4" xr3:uid="{FD255315-9417-4494-B548-348D7A1226D5}" uniqueName="4" name="Ignorado" queryTableFieldId="4"/>
    <tableColumn id="5" xr3:uid="{83D42FC0-0774-4D0E-8E40-572EAA19CFD2}" uniqueName="5" name="Total"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DEC373-4344-4211-8745-6FF914E5AA35}" name="aids_60mais_total" displayName="aids_60mais_total" ref="A1:B16" tableType="queryTable" totalsRowShown="0">
  <autoFilter ref="A1:B16" xr:uid="{2ADEC373-4344-4211-8745-6FF914E5AA35}"/>
  <tableColumns count="2">
    <tableColumn id="1" xr3:uid="{48D5D84B-D038-4A41-90E3-5153B136046E}" uniqueName="1" name="Ano Diagnóstico" queryTableFieldId="1" dataDxfId="3"/>
    <tableColumn id="2" xr3:uid="{3C1331FA-230E-4358-975C-2851DBEFBF76}" uniqueName="2" name="Freqüência" queryTableFieldId="2"/>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978E0-28B4-42FE-8CBB-D0E42A7D30F9}">
  <sheetPr>
    <tabColor theme="9" tint="0.59999389629810485"/>
  </sheetPr>
  <dimension ref="R23:AL40"/>
  <sheetViews>
    <sheetView showGridLines="0" tabSelected="1" topLeftCell="J13" zoomScaleNormal="100" workbookViewId="0">
      <selection activeCell="R42" sqref="R42"/>
    </sheetView>
  </sheetViews>
  <sheetFormatPr defaultRowHeight="15" x14ac:dyDescent="0.25"/>
  <cols>
    <col min="1" max="1" width="19.28515625" bestFit="1" customWidth="1"/>
    <col min="2" max="16" width="5.42578125" bestFit="1" customWidth="1"/>
    <col min="17" max="17" width="11.140625" bestFit="1" customWidth="1"/>
    <col min="18" max="18" width="18.85546875" bestFit="1" customWidth="1"/>
    <col min="19" max="19" width="13.140625" bestFit="1" customWidth="1"/>
    <col min="23" max="23" width="9.28515625" customWidth="1"/>
    <col min="24" max="24" width="10.7109375" customWidth="1"/>
    <col min="27" max="27" width="12.5703125" bestFit="1" customWidth="1"/>
    <col min="28" max="28" width="11.85546875" bestFit="1" customWidth="1"/>
    <col min="29" max="30" width="10" bestFit="1" customWidth="1"/>
    <col min="31" max="31" width="11.7109375" bestFit="1" customWidth="1"/>
    <col min="32" max="32" width="2.7109375" customWidth="1"/>
    <col min="34" max="37" width="9.28515625" bestFit="1" customWidth="1"/>
    <col min="38" max="38" width="12.7109375" customWidth="1"/>
  </cols>
  <sheetData>
    <row r="23" spans="18:38" ht="3" customHeight="1" x14ac:dyDescent="0.25"/>
    <row r="24" spans="18:38" ht="31.15" customHeight="1" x14ac:dyDescent="0.25">
      <c r="R24" s="19" t="s">
        <v>103</v>
      </c>
      <c r="S24" s="19"/>
      <c r="T24" s="19"/>
      <c r="U24" s="19"/>
      <c r="V24" s="19"/>
      <c r="W24" s="10" t="s">
        <v>104</v>
      </c>
      <c r="X24" s="10"/>
      <c r="Z24" s="11" t="s">
        <v>101</v>
      </c>
      <c r="AA24" s="12"/>
      <c r="AB24" s="12"/>
      <c r="AC24" s="12"/>
      <c r="AD24" s="12"/>
      <c r="AE24" s="13"/>
      <c r="AG24" s="14" t="s">
        <v>102</v>
      </c>
      <c r="AH24" s="14"/>
      <c r="AI24" s="14"/>
      <c r="AJ24" s="14"/>
      <c r="AK24" s="14"/>
      <c r="AL24" s="14"/>
    </row>
    <row r="25" spans="18:38" x14ac:dyDescent="0.25">
      <c r="R25" s="2" t="s">
        <v>97</v>
      </c>
      <c r="S25" s="20" t="s">
        <v>101</v>
      </c>
      <c r="T25" s="21"/>
      <c r="U25" s="20" t="s">
        <v>102</v>
      </c>
      <c r="V25" s="21"/>
      <c r="W25" s="2" t="s">
        <v>105</v>
      </c>
      <c r="X25" s="2" t="s">
        <v>106</v>
      </c>
      <c r="Z25" s="8" t="s">
        <v>97</v>
      </c>
      <c r="AA25" s="2" t="s">
        <v>61</v>
      </c>
      <c r="AB25" s="2" t="s">
        <v>60</v>
      </c>
      <c r="AC25" s="2" t="s">
        <v>58</v>
      </c>
      <c r="AD25" s="2" t="s">
        <v>107</v>
      </c>
      <c r="AE25" s="2" t="s">
        <v>108</v>
      </c>
      <c r="AG25" s="8" t="s">
        <v>97</v>
      </c>
      <c r="AH25" s="2" t="s">
        <v>61</v>
      </c>
      <c r="AI25" s="2" t="s">
        <v>60</v>
      </c>
      <c r="AJ25" s="2" t="s">
        <v>58</v>
      </c>
      <c r="AK25" s="2" t="s">
        <v>107</v>
      </c>
      <c r="AL25" s="2" t="s">
        <v>108</v>
      </c>
    </row>
    <row r="26" spans="18:38" x14ac:dyDescent="0.25">
      <c r="R26" s="3">
        <v>2010</v>
      </c>
      <c r="S26" s="15">
        <f>SUM(pop_cru_60mais!C7:AF7)</f>
        <v>9123555</v>
      </c>
      <c r="T26" s="16"/>
      <c r="U26" s="17">
        <f>SUM(pop_cru_60mais!AH7:BL7)</f>
        <v>11588556</v>
      </c>
      <c r="V26" s="18"/>
      <c r="W26" s="4">
        <f>aids_60mais_sexo!B2/Análise_aids_60mais!S26</f>
        <v>1.0083788610908796E-4</v>
      </c>
      <c r="X26" s="4">
        <f>aids_60mais_sexo!C2/Análise_aids_60mais!U26</f>
        <v>5.2724429169604909E-5</v>
      </c>
      <c r="Z26" s="9">
        <v>2010</v>
      </c>
      <c r="AA26" s="5">
        <f>SUM(pop_cru_60mais!C22:AG22)</f>
        <v>543652</v>
      </c>
      <c r="AB26" s="6">
        <f>SUM(pop_cru_60mais!C37:AG37)</f>
        <v>2474424</v>
      </c>
      <c r="AC26" s="5">
        <f>SUM(pop_cru_60mais!C67:AG67)</f>
        <v>1479353</v>
      </c>
      <c r="AD26" s="6">
        <f>SUM(pop_cru_60mais!C52:AG52)</f>
        <v>4180903</v>
      </c>
      <c r="AE26" s="6">
        <f>SUM(pop_cru_60mais!C82:AG82)</f>
        <v>601037</v>
      </c>
      <c r="AG26" s="9">
        <v>2010</v>
      </c>
      <c r="AH26" s="6">
        <f>SUM(pop_cru_60mais!AH22:BL22)</f>
        <v>551798</v>
      </c>
      <c r="AI26" s="6">
        <f>SUM(pop_cru_60mais!AH37:BL37)</f>
        <v>3056252</v>
      </c>
      <c r="AJ26" s="6">
        <f>SUM(pop_cru_60mais!AH67:BL67)</f>
        <v>1852605</v>
      </c>
      <c r="AK26" s="6">
        <f>SUM(pop_cru_60mais!AH52:BL52)</f>
        <v>5474763</v>
      </c>
      <c r="AL26" s="6">
        <f>SUM(pop_cru_60mais!AH82:BL82)</f>
        <v>653138</v>
      </c>
    </row>
    <row r="27" spans="18:38" x14ac:dyDescent="0.25">
      <c r="R27" s="3">
        <v>2011</v>
      </c>
      <c r="S27" s="15">
        <f>SUM(pop_cru_60mais!C8:AF8)</f>
        <v>9447070</v>
      </c>
      <c r="T27" s="16"/>
      <c r="U27" s="17">
        <f>SUM(pop_cru_60mais!AH8:BL8)</f>
        <v>12017352</v>
      </c>
      <c r="V27" s="18"/>
      <c r="W27" s="4">
        <f>aids_60mais_sexo!B3/Análise_aids_60mais!S27</f>
        <v>1.1040460163839158E-4</v>
      </c>
      <c r="X27" s="4">
        <f>aids_60mais_sexo!C3/Análise_aids_60mais!U27</f>
        <v>5.8665170163942935E-5</v>
      </c>
      <c r="Z27" s="9">
        <v>2011</v>
      </c>
      <c r="AA27" s="5">
        <f>SUM(pop_cru_60mais!C23:AG23)</f>
        <v>562414</v>
      </c>
      <c r="AB27" s="6">
        <f>SUM(pop_cru_60mais!C38:AG38)</f>
        <v>2524585</v>
      </c>
      <c r="AC27" s="5">
        <f>SUM(pop_cru_60mais!C68:AG68)</f>
        <v>1543018</v>
      </c>
      <c r="AD27" s="6">
        <f>SUM(pop_cru_60mais!C53:AG53)</f>
        <v>4346681</v>
      </c>
      <c r="AE27" s="6">
        <f>SUM(pop_cru_60mais!C83:AG83)</f>
        <v>626263</v>
      </c>
      <c r="AG27" s="9">
        <v>2011</v>
      </c>
      <c r="AH27" s="6">
        <f>SUM(pop_cru_60mais!AH23:BL23)</f>
        <v>573838</v>
      </c>
      <c r="AI27" s="6">
        <f>SUM(pop_cru_60mais!AH38:BL38)</f>
        <v>3138753</v>
      </c>
      <c r="AJ27" s="6">
        <f>SUM(pop_cru_60mais!AH68:BL68)</f>
        <v>1930365</v>
      </c>
      <c r="AK27" s="6">
        <f>SUM(pop_cru_60mais!AH53:BL53)</f>
        <v>5688637</v>
      </c>
      <c r="AL27" s="6">
        <f>SUM(pop_cru_60mais!AH83:BL83)</f>
        <v>685759</v>
      </c>
    </row>
    <row r="28" spans="18:38" x14ac:dyDescent="0.25">
      <c r="R28" s="3">
        <v>2012</v>
      </c>
      <c r="S28" s="15">
        <f>SUM(pop_cru_60mais!C9:AF9)</f>
        <v>9780621</v>
      </c>
      <c r="T28" s="16"/>
      <c r="U28" s="17">
        <f>SUM(pop_cru_60mais!AH9:BL9)</f>
        <v>12469716</v>
      </c>
      <c r="V28" s="18"/>
      <c r="W28" s="4">
        <f>aids_60mais_sexo!B4/Análise_aids_60mais!S28</f>
        <v>1.1226281030621676E-4</v>
      </c>
      <c r="X28" s="4">
        <f>aids_60mais_sexo!C4/Análise_aids_60mais!U28</f>
        <v>5.6536973255846407E-5</v>
      </c>
      <c r="Z28" s="9">
        <v>2012</v>
      </c>
      <c r="AA28" s="5">
        <f>SUM(pop_cru_60mais!C24:AG24)</f>
        <v>582704</v>
      </c>
      <c r="AB28" s="6">
        <f>SUM(pop_cru_60mais!C39:AG39)</f>
        <v>2577007</v>
      </c>
      <c r="AC28" s="5">
        <f>SUM(pop_cru_60mais!C69:AG69)</f>
        <v>1609763</v>
      </c>
      <c r="AD28" s="6">
        <f>SUM(pop_cru_60mais!C54:AG54)</f>
        <v>4521838</v>
      </c>
      <c r="AE28" s="6">
        <f>SUM(pop_cru_60mais!C84:AG84)</f>
        <v>652952</v>
      </c>
      <c r="AG28" s="9">
        <v>2012</v>
      </c>
      <c r="AH28" s="6">
        <f>SUM(pop_cru_60mais!AH24:BL24)</f>
        <v>597847</v>
      </c>
      <c r="AI28" s="6">
        <f>SUM(pop_cru_60mais!AH39:BL39)</f>
        <v>3226134</v>
      </c>
      <c r="AJ28" s="6">
        <f>SUM(pop_cru_60mais!AH69:BL69)</f>
        <v>2012219</v>
      </c>
      <c r="AK28" s="6">
        <f>SUM(pop_cru_60mais!AH54:BL54)</f>
        <v>5913169</v>
      </c>
      <c r="AL28" s="6">
        <f>SUM(pop_cru_60mais!AH84:BL84)</f>
        <v>720347</v>
      </c>
    </row>
    <row r="29" spans="18:38" x14ac:dyDescent="0.25">
      <c r="R29" s="3">
        <v>2013</v>
      </c>
      <c r="S29" s="15">
        <f>SUM(pop_cru_60mais!C10:AF10)</f>
        <v>10127907</v>
      </c>
      <c r="T29" s="16"/>
      <c r="U29" s="17">
        <f>SUM(pop_cru_60mais!AH10:BL10)</f>
        <v>12944842</v>
      </c>
      <c r="V29" s="18"/>
      <c r="W29" s="4">
        <f>aids_60mais_sexo!B5/Análise_aids_60mais!S29</f>
        <v>1.2509988490218166E-4</v>
      </c>
      <c r="X29" s="4">
        <f>aids_60mais_sexo!C5/Análise_aids_60mais!U29</f>
        <v>6.0410161823527857E-5</v>
      </c>
      <c r="Z29" s="9">
        <v>2013</v>
      </c>
      <c r="AA29" s="5">
        <f>SUM(pop_cru_60mais!C25:AG25)</f>
        <v>604443</v>
      </c>
      <c r="AB29" s="6">
        <f>SUM(pop_cru_60mais!C40:AG40)</f>
        <v>2632152</v>
      </c>
      <c r="AC29" s="5">
        <f>SUM(pop_cru_60mais!C70:AG70)</f>
        <v>1679314</v>
      </c>
      <c r="AD29" s="6">
        <f>SUM(pop_cru_60mais!C55:AG55)</f>
        <v>4706164</v>
      </c>
      <c r="AE29" s="6">
        <f>SUM(pop_cru_60mais!C85:AG85)</f>
        <v>681045</v>
      </c>
      <c r="AG29" s="9">
        <v>2013</v>
      </c>
      <c r="AH29" s="6">
        <f>SUM(pop_cru_60mais!AH25:BL25)</f>
        <v>623699</v>
      </c>
      <c r="AI29" s="6">
        <f>SUM(pop_cru_60mais!AH40:BL40)</f>
        <v>3318086</v>
      </c>
      <c r="AJ29" s="6">
        <f>SUM(pop_cru_60mais!AH70:BL70)</f>
        <v>2097873</v>
      </c>
      <c r="AK29" s="6">
        <f>SUM(pop_cru_60mais!AH55:BL55)</f>
        <v>6148350</v>
      </c>
      <c r="AL29" s="6">
        <f>SUM(pop_cru_60mais!AH85:BL85)</f>
        <v>756834</v>
      </c>
    </row>
    <row r="30" spans="18:38" x14ac:dyDescent="0.25">
      <c r="R30" s="3">
        <v>2014</v>
      </c>
      <c r="S30" s="15">
        <f>SUM(pop_cru_60mais!C11:AF11)</f>
        <v>10492106</v>
      </c>
      <c r="T30" s="16"/>
      <c r="U30" s="17">
        <f>SUM(pop_cru_60mais!AH11:BL11)</f>
        <v>13442612</v>
      </c>
      <c r="V30" s="18"/>
      <c r="W30" s="4">
        <f>aids_60mais_sexo!B6/Análise_aids_60mais!S30</f>
        <v>1.2237771902037588E-4</v>
      </c>
      <c r="X30" s="4">
        <f>aids_60mais_sexo!C6/Análise_aids_60mais!U30</f>
        <v>5.5792728377490921E-5</v>
      </c>
      <c r="Z30" s="9">
        <v>2014</v>
      </c>
      <c r="AA30" s="5">
        <f>SUM(pop_cru_60mais!C26:AG26)</f>
        <v>627509</v>
      </c>
      <c r="AB30" s="6">
        <f>SUM(pop_cru_60mais!C41:AG41)</f>
        <v>2691102</v>
      </c>
      <c r="AC30" s="5">
        <f>SUM(pop_cru_60mais!C71:AG71)</f>
        <v>1751373</v>
      </c>
      <c r="AD30" s="6">
        <f>SUM(pop_cru_60mais!C56:AG56)</f>
        <v>4899752</v>
      </c>
      <c r="AE30" s="6">
        <f>SUM(pop_cru_60mais!C86:AG86)</f>
        <v>710484</v>
      </c>
      <c r="AG30" s="9">
        <v>2014</v>
      </c>
      <c r="AH30" s="6">
        <f>SUM(pop_cru_60mais!AH26:BL26)</f>
        <v>651201</v>
      </c>
      <c r="AI30" s="6">
        <f>SUM(pop_cru_60mais!AH41:BL41)</f>
        <v>3414733</v>
      </c>
      <c r="AJ30" s="6">
        <f>SUM(pop_cru_60mais!AH71:BL71)</f>
        <v>2186997</v>
      </c>
      <c r="AK30" s="6">
        <f>SUM(pop_cru_60mais!AH56:BL56)</f>
        <v>6394535</v>
      </c>
      <c r="AL30" s="6">
        <f>SUM(pop_cru_60mais!AH86:BL86)</f>
        <v>795146</v>
      </c>
    </row>
    <row r="31" spans="18:38" x14ac:dyDescent="0.25">
      <c r="R31" s="3">
        <v>2015</v>
      </c>
      <c r="S31" s="15">
        <f>SUM(pop_cru_60mais!C12:AF12)</f>
        <v>10874815</v>
      </c>
      <c r="T31" s="16"/>
      <c r="U31" s="17">
        <f>SUM(pop_cru_60mais!AH12:BL12)</f>
        <v>13962679</v>
      </c>
      <c r="V31" s="18"/>
      <c r="W31" s="4">
        <f>aids_60mais_sexo!B7/Análise_aids_60mais!S31</f>
        <v>1.1770315173177659E-4</v>
      </c>
      <c r="X31" s="4">
        <f>aids_60mais_sexo!C7/Análise_aids_60mais!U31</f>
        <v>5.7295594921289816E-5</v>
      </c>
      <c r="Z31" s="9">
        <v>2015</v>
      </c>
      <c r="AA31" s="5">
        <f>SUM(pop_cru_60mais!C27:AG27)</f>
        <v>651815</v>
      </c>
      <c r="AB31" s="6">
        <f>SUM(pop_cru_60mais!C42:AG42)</f>
        <v>2754592</v>
      </c>
      <c r="AC31" s="5">
        <f>SUM(pop_cru_60mais!C72:AG72)</f>
        <v>1825715</v>
      </c>
      <c r="AD31" s="6">
        <f>SUM(pop_cru_60mais!C57:AG57)</f>
        <v>5102325</v>
      </c>
      <c r="AE31" s="6">
        <f>SUM(pop_cru_60mais!C87:AG87)</f>
        <v>741226</v>
      </c>
      <c r="AG31" s="9">
        <v>2015</v>
      </c>
      <c r="AH31" s="6">
        <f>SUM(pop_cru_60mais!AH27:BL27)</f>
        <v>680234</v>
      </c>
      <c r="AI31" s="6">
        <f>SUM(pop_cru_60mais!AH42:BL42)</f>
        <v>3516211</v>
      </c>
      <c r="AJ31" s="6">
        <f>SUM(pop_cru_60mais!AH72:BL72)</f>
        <v>2279350</v>
      </c>
      <c r="AK31" s="6">
        <f>SUM(pop_cru_60mais!AH57:BL57)</f>
        <v>6651646</v>
      </c>
      <c r="AL31" s="6">
        <f>SUM(pop_cru_60mais!AH87:BL87)</f>
        <v>835238</v>
      </c>
    </row>
    <row r="32" spans="18:38" x14ac:dyDescent="0.25">
      <c r="R32" s="3">
        <v>2016</v>
      </c>
      <c r="S32" s="15">
        <f>SUM(pop_cru_60mais!C13:AF13)</f>
        <v>11275943</v>
      </c>
      <c r="T32" s="16"/>
      <c r="U32" s="17">
        <f>SUM(pop_cru_60mais!AH13:BL13)</f>
        <v>14504840</v>
      </c>
      <c r="V32" s="18"/>
      <c r="W32" s="4">
        <f>aids_60mais_sexo!B8/Análise_aids_60mais!S32</f>
        <v>1.2114286139970733E-4</v>
      </c>
      <c r="X32" s="4">
        <f>aids_60mais_sexo!C8/Análise_aids_60mais!U32</f>
        <v>5.7980646460078154E-5</v>
      </c>
      <c r="Z32" s="9">
        <v>2016</v>
      </c>
      <c r="AA32" s="5">
        <f>SUM(pop_cru_60mais!C28:AG28)</f>
        <v>677476</v>
      </c>
      <c r="AB32" s="6">
        <f>SUM(pop_cru_60mais!C43:AG43)</f>
        <v>2822684</v>
      </c>
      <c r="AC32" s="5">
        <f>SUM(pop_cru_60mais!C73:AG73)</f>
        <v>1902323</v>
      </c>
      <c r="AD32" s="6">
        <f>SUM(pop_cru_60mais!C58:AG58)</f>
        <v>5313757</v>
      </c>
      <c r="AE32" s="6">
        <f>SUM(pop_cru_60mais!C88:AG88)</f>
        <v>773369</v>
      </c>
      <c r="AG32" s="9">
        <v>2016</v>
      </c>
      <c r="AH32" s="6">
        <f>SUM(pop_cru_60mais!AH28:BL28)</f>
        <v>710912</v>
      </c>
      <c r="AI32" s="6">
        <f>SUM(pop_cru_60mais!AH43:BL43)</f>
        <v>3622614</v>
      </c>
      <c r="AJ32" s="6">
        <f>SUM(pop_cru_60mais!AH73:BL73)</f>
        <v>2374842</v>
      </c>
      <c r="AK32" s="6">
        <f>SUM(pop_cru_60mais!AH58:BL58)</f>
        <v>6919309</v>
      </c>
      <c r="AL32" s="6">
        <f>SUM(pop_cru_60mais!AH88:BL88)</f>
        <v>877163</v>
      </c>
    </row>
    <row r="33" spans="18:38" x14ac:dyDescent="0.25">
      <c r="R33" s="3">
        <v>2017</v>
      </c>
      <c r="S33" s="15">
        <f>SUM(pop_cru_60mais!C14:AF14)</f>
        <v>11695273</v>
      </c>
      <c r="T33" s="16"/>
      <c r="U33" s="17">
        <f>SUM(pop_cru_60mais!AH14:BL14)</f>
        <v>15068686</v>
      </c>
      <c r="V33" s="18"/>
      <c r="W33" s="4">
        <f>aids_60mais_sexo!B9/Análise_aids_60mais!S33</f>
        <v>1.2227162204764267E-4</v>
      </c>
      <c r="X33" s="4">
        <f>aids_60mais_sexo!C9/Análise_aids_60mais!U33</f>
        <v>5.6209280623406711E-5</v>
      </c>
      <c r="Z33" s="9">
        <v>2017</v>
      </c>
      <c r="AA33" s="5">
        <f>SUM(pop_cru_60mais!C29:AG29)</f>
        <v>704614</v>
      </c>
      <c r="AB33" s="6">
        <f>SUM(pop_cru_60mais!C44:AG44)</f>
        <v>2895430</v>
      </c>
      <c r="AC33" s="5">
        <f>SUM(pop_cru_60mais!C74:AG74)</f>
        <v>1981059</v>
      </c>
      <c r="AD33" s="6">
        <f>SUM(pop_cru_60mais!C59:AG59)</f>
        <v>5534100</v>
      </c>
      <c r="AE33" s="6">
        <f>SUM(pop_cru_60mais!C89:AG89)</f>
        <v>806983</v>
      </c>
      <c r="AG33" s="9">
        <v>2017</v>
      </c>
      <c r="AH33" s="6">
        <f>SUM(pop_cru_60mais!AH29:BL29)</f>
        <v>743435</v>
      </c>
      <c r="AI33" s="6">
        <f>SUM(pop_cru_60mais!AH44:BL44)</f>
        <v>3733896</v>
      </c>
      <c r="AJ33" s="6">
        <f>SUM(pop_cru_60mais!AH74:BL74)</f>
        <v>2473197</v>
      </c>
      <c r="AK33" s="6">
        <f>SUM(pop_cru_60mais!AH59:BL59)</f>
        <v>7197219</v>
      </c>
      <c r="AL33" s="6">
        <f>SUM(pop_cru_60mais!AH89:BL89)</f>
        <v>920939</v>
      </c>
    </row>
    <row r="34" spans="18:38" x14ac:dyDescent="0.25">
      <c r="R34" s="3">
        <v>2018</v>
      </c>
      <c r="S34" s="15">
        <f>SUM(pop_cru_60mais!C15:AF15)</f>
        <v>12131978</v>
      </c>
      <c r="T34" s="16"/>
      <c r="U34" s="17">
        <f>SUM(pop_cru_60mais!AH15:BL15)</f>
        <v>15653222</v>
      </c>
      <c r="V34" s="18"/>
      <c r="W34" s="4">
        <f>aids_60mais_sexo!B10/Análise_aids_60mais!S34</f>
        <v>1.2990462066449511E-4</v>
      </c>
      <c r="X34" s="4">
        <f>aids_60mais_sexo!C10/Análise_aids_60mais!U34</f>
        <v>5.5835150105198789E-5</v>
      </c>
      <c r="Z34" s="9">
        <v>2018</v>
      </c>
      <c r="AA34" s="5">
        <f>SUM(pop_cru_60mais!C30:AG30)</f>
        <v>733159</v>
      </c>
      <c r="AB34" s="6">
        <f>SUM(pop_cru_60mais!C45:AG45)</f>
        <v>2973310</v>
      </c>
      <c r="AC34" s="5">
        <f>SUM(pop_cru_60mais!C75:AG75)</f>
        <v>2062044</v>
      </c>
      <c r="AD34" s="6">
        <f>SUM(pop_cru_60mais!C60:AG60)</f>
        <v>5761465</v>
      </c>
      <c r="AE34" s="6">
        <f>SUM(pop_cru_60mais!C90:AG90)</f>
        <v>842102</v>
      </c>
      <c r="AG34" s="9">
        <v>2018</v>
      </c>
      <c r="AH34" s="6">
        <f>SUM(pop_cru_60mais!AH30:BL30)</f>
        <v>777701</v>
      </c>
      <c r="AI34" s="6">
        <f>SUM(pop_cru_60mais!AH45:BL45)</f>
        <v>3850581</v>
      </c>
      <c r="AJ34" s="6">
        <f>SUM(pop_cru_60mais!AH75:BL75)</f>
        <v>2574632</v>
      </c>
      <c r="AK34" s="6">
        <f>SUM(pop_cru_60mais!AH60:BL60)</f>
        <v>7483691</v>
      </c>
      <c r="AL34" s="6">
        <f>SUM(pop_cru_60mais!AH90:BL90)</f>
        <v>966617</v>
      </c>
    </row>
    <row r="35" spans="18:38" x14ac:dyDescent="0.25">
      <c r="R35" s="3">
        <v>2019</v>
      </c>
      <c r="S35" s="15">
        <f>SUM(pop_cru_60mais!C16:AF16)</f>
        <v>12584821</v>
      </c>
      <c r="T35" s="16"/>
      <c r="U35" s="17">
        <f>SUM(pop_cru_60mais!AH16:BL16)</f>
        <v>16257338</v>
      </c>
      <c r="V35" s="18"/>
      <c r="W35" s="4">
        <f>aids_60mais_sexo!B11/Análise_aids_60mais!S35</f>
        <v>1.2221071718064165E-4</v>
      </c>
      <c r="X35" s="4">
        <f>aids_60mais_sexo!C11/Análise_aids_60mais!U35</f>
        <v>5.5544148740710194E-5</v>
      </c>
      <c r="Z35" s="9">
        <v>2019</v>
      </c>
      <c r="AA35" s="5">
        <f>SUM(pop_cru_60mais!C31:AG31)</f>
        <v>762917</v>
      </c>
      <c r="AB35" s="6">
        <f>SUM(pop_cru_60mais!C46:AG46)</f>
        <v>3056995</v>
      </c>
      <c r="AC35" s="5">
        <f>SUM(pop_cru_60mais!C76:AG76)</f>
        <v>2145643</v>
      </c>
      <c r="AD35" s="6">
        <f>SUM(pop_cru_60mais!C61:AG61)</f>
        <v>5993357</v>
      </c>
      <c r="AE35" s="6">
        <f>SUM(pop_cru_60mais!C91:AG91)</f>
        <v>878825</v>
      </c>
      <c r="AG35" s="9">
        <v>2019</v>
      </c>
      <c r="AH35" s="6">
        <f>SUM(pop_cru_60mais!AH31:BL31)</f>
        <v>813347</v>
      </c>
      <c r="AI35" s="6">
        <f>SUM(pop_cru_60mais!AH46:BL46)</f>
        <v>3973491</v>
      </c>
      <c r="AJ35" s="6">
        <f>SUM(pop_cru_60mais!AH76:BL76)</f>
        <v>2679623</v>
      </c>
      <c r="AK35" s="6">
        <f>SUM(pop_cru_60mais!AH61:BL61)</f>
        <v>7776515</v>
      </c>
      <c r="AL35" s="6">
        <f>SUM(pop_cru_60mais!AH91:BL91)</f>
        <v>1014362</v>
      </c>
    </row>
    <row r="36" spans="18:38" x14ac:dyDescent="0.25">
      <c r="R36" s="3">
        <v>2020</v>
      </c>
      <c r="S36" s="15">
        <f>SUM(pop_cru_60mais!C17:AF17)</f>
        <v>13052317</v>
      </c>
      <c r="T36" s="16"/>
      <c r="U36" s="17">
        <f>SUM(pop_cru_60mais!AH17:BL17)</f>
        <v>16879582</v>
      </c>
      <c r="V36" s="18"/>
      <c r="W36" s="4">
        <f>aids_60mais_sexo!B12/Análise_aids_60mais!S36</f>
        <v>9.4465986383873449E-5</v>
      </c>
      <c r="X36" s="4">
        <f>aids_60mais_sexo!C12/Análise_aids_60mais!U36</f>
        <v>4.2655084705296614E-5</v>
      </c>
      <c r="Z36" s="9">
        <v>2020</v>
      </c>
      <c r="AA36" s="5">
        <f>SUM(pop_cru_60mais!C32:AG32)</f>
        <v>793762</v>
      </c>
      <c r="AB36" s="6">
        <f>SUM(pop_cru_60mais!C47:AG47)</f>
        <v>3146760</v>
      </c>
      <c r="AC36" s="5">
        <f>SUM(pop_cru_60mais!C77:AG77)</f>
        <v>2231875</v>
      </c>
      <c r="AD36" s="6">
        <f>SUM(pop_cru_60mais!C62:AG62)</f>
        <v>6227913</v>
      </c>
      <c r="AE36" s="6">
        <f>SUM(pop_cru_60mais!C92:AG92)</f>
        <v>917185</v>
      </c>
      <c r="AG36" s="9">
        <v>2020</v>
      </c>
      <c r="AH36" s="6">
        <f>SUM(pop_cru_60mais!AH32:BL32)</f>
        <v>850231</v>
      </c>
      <c r="AI36" s="6">
        <f>SUM(pop_cru_60mais!AH47:BL47)</f>
        <v>4103028</v>
      </c>
      <c r="AJ36" s="6">
        <f>SUM(pop_cru_60mais!AH77:BL77)</f>
        <v>2788265</v>
      </c>
      <c r="AK36" s="6">
        <f>SUM(pop_cru_60mais!AH62:BL62)</f>
        <v>8073866</v>
      </c>
      <c r="AL36" s="6">
        <f>SUM(pop_cru_60mais!AH92:BL92)</f>
        <v>1064192</v>
      </c>
    </row>
    <row r="37" spans="18:38" x14ac:dyDescent="0.25">
      <c r="R37" s="3">
        <v>2021</v>
      </c>
      <c r="S37" s="15">
        <f>SUM(pop_cru_60mais!C18:AF18)</f>
        <v>13533622</v>
      </c>
      <c r="T37" s="16"/>
      <c r="U37" s="17">
        <f>SUM(pop_cru_60mais!AH18:BL18)</f>
        <v>17519100</v>
      </c>
      <c r="V37" s="18"/>
      <c r="W37" s="4">
        <f>aids_60mais_sexo!B13/Análise_aids_60mais!S37</f>
        <v>1.1371678623800783E-4</v>
      </c>
      <c r="X37" s="4">
        <f>aids_60mais_sexo!C13/Análise_aids_60mais!U37</f>
        <v>4.9146360258232446E-5</v>
      </c>
      <c r="Z37" s="9">
        <v>2021</v>
      </c>
      <c r="AA37" s="5">
        <f>SUM(pop_cru_60mais!C33:AG33)</f>
        <v>825748</v>
      </c>
      <c r="AB37" s="6">
        <f>SUM(pop_cru_60mais!C48:AG48)</f>
        <v>3242490</v>
      </c>
      <c r="AC37" s="5">
        <f>SUM(pop_cru_60mais!C78:AG78)</f>
        <v>2320497</v>
      </c>
      <c r="AD37" s="6">
        <f>SUM(pop_cru_60mais!C63:AG63)</f>
        <v>6465240</v>
      </c>
      <c r="AE37" s="6">
        <f>SUM(pop_cru_60mais!C93:AG93)</f>
        <v>957160</v>
      </c>
      <c r="AG37" s="9">
        <v>2021</v>
      </c>
      <c r="AH37" s="6">
        <f>SUM(pop_cru_60mais!AH33:BL33)</f>
        <v>888380</v>
      </c>
      <c r="AI37" s="6">
        <f>SUM(pop_cru_60mais!AH48:BL48)</f>
        <v>4239041</v>
      </c>
      <c r="AJ37" s="6">
        <f>SUM(pop_cru_60mais!AH78:BL78)</f>
        <v>2900182</v>
      </c>
      <c r="AK37" s="6">
        <f>SUM(pop_cru_60mais!AH63:BL63)</f>
        <v>8375416</v>
      </c>
      <c r="AL37" s="6">
        <f>SUM(pop_cru_60mais!AH93:BL93)</f>
        <v>1116081</v>
      </c>
    </row>
    <row r="38" spans="18:38" x14ac:dyDescent="0.25">
      <c r="R38" s="3">
        <v>2022</v>
      </c>
      <c r="S38" s="15">
        <f>SUM(pop_cru_60mais!C19:AF19)</f>
        <v>14028028</v>
      </c>
      <c r="T38" s="16"/>
      <c r="U38" s="17">
        <f>SUM(pop_cru_60mais!AH19:BL19)</f>
        <v>18175356</v>
      </c>
      <c r="V38" s="18"/>
      <c r="W38" s="4">
        <f>aids_60mais_sexo!B14/Análise_aids_60mais!S38</f>
        <v>1.1477022999954092E-4</v>
      </c>
      <c r="X38" s="4">
        <f>aids_60mais_sexo!C14/Análise_aids_60mais!U38</f>
        <v>5.4634418164904171E-5</v>
      </c>
      <c r="Z38" s="9">
        <v>2022</v>
      </c>
      <c r="AA38" s="5">
        <f>SUM(pop_cru_60mais!C34:AG34)</f>
        <v>858879</v>
      </c>
      <c r="AB38" s="6">
        <f>SUM(pop_cru_60mais!C49:AG49)</f>
        <v>3344172</v>
      </c>
      <c r="AC38" s="5">
        <f>SUM(pop_cru_60mais!C79:AG79)</f>
        <v>2411421</v>
      </c>
      <c r="AD38" s="6">
        <f>SUM(pop_cru_60mais!C64:AG64)</f>
        <v>6705178</v>
      </c>
      <c r="AE38" s="6">
        <f>SUM(pop_cru_60mais!C94:AG94)</f>
        <v>998759</v>
      </c>
      <c r="AG38" s="9">
        <v>2022</v>
      </c>
      <c r="AH38" s="6">
        <f>SUM(pop_cru_60mais!AH34:BL34)</f>
        <v>927831</v>
      </c>
      <c r="AI38" s="6">
        <f>SUM(pop_cru_60mais!AH49:BL49)</f>
        <v>4381413</v>
      </c>
      <c r="AJ38" s="6">
        <f>SUM(pop_cru_60mais!AH79:BL79)</f>
        <v>3015231</v>
      </c>
      <c r="AK38" s="6">
        <f>SUM(pop_cru_60mais!AH64:BL64)</f>
        <v>8680865</v>
      </c>
      <c r="AL38" s="6">
        <f>SUM(pop_cru_60mais!AH94:BL94)</f>
        <v>1170016</v>
      </c>
    </row>
    <row r="39" spans="18:38" x14ac:dyDescent="0.25">
      <c r="R39" s="3">
        <v>2023</v>
      </c>
      <c r="S39" s="15">
        <f>SUM(pop_cru_60mais!C20:AF20)</f>
        <v>14532025</v>
      </c>
      <c r="T39" s="16"/>
      <c r="U39" s="17">
        <f>SUM(pop_cru_60mais!AH20:BL20)</f>
        <v>18843899</v>
      </c>
      <c r="V39" s="18"/>
      <c r="W39" s="4">
        <f>aids_60mais_sexo!B15/Análise_aids_60mais!S39</f>
        <v>1.2097419320431943E-4</v>
      </c>
      <c r="X39" s="4">
        <f>aids_60mais_sexo!C15/Análise_aids_60mais!U39</f>
        <v>5.6782303917039673E-5</v>
      </c>
      <c r="Z39" s="9">
        <v>2023</v>
      </c>
      <c r="AA39" s="5">
        <f>SUM(pop_cru_60mais!C35:AG35)</f>
        <v>893256</v>
      </c>
      <c r="AB39" s="6">
        <f>SUM(pop_cru_60mais!C50:AG50)</f>
        <v>3450927</v>
      </c>
      <c r="AC39" s="5">
        <f>SUM(pop_cru_60mais!C80:AG80)</f>
        <v>2503447</v>
      </c>
      <c r="AD39" s="6">
        <f>SUM(pop_cru_60mais!C65:AG65)</f>
        <v>6946674</v>
      </c>
      <c r="AE39" s="6">
        <f>SUM(pop_cru_60mais!C95:AG95)</f>
        <v>1041783</v>
      </c>
      <c r="AG39" s="9">
        <v>2023</v>
      </c>
      <c r="AH39" s="6">
        <f>SUM(pop_cru_60mais!AH35:BL35)</f>
        <v>968698</v>
      </c>
      <c r="AI39" s="6">
        <f>SUM(pop_cru_60mais!AH50:BL50)</f>
        <v>4529563</v>
      </c>
      <c r="AJ39" s="6">
        <f>SUM(pop_cru_60mais!AH80:BL80)</f>
        <v>3131939</v>
      </c>
      <c r="AK39" s="6">
        <f>SUM(pop_cru_60mais!AH65:BL65)</f>
        <v>8988000</v>
      </c>
      <c r="AL39" s="6">
        <f>SUM(pop_cru_60mais!AH95:BL95)</f>
        <v>1225699</v>
      </c>
    </row>
    <row r="40" spans="18:38" x14ac:dyDescent="0.25">
      <c r="R40" s="3">
        <v>2024</v>
      </c>
      <c r="S40" s="15">
        <f>SUM(pop_cru_60mais!C21:AF21)</f>
        <v>15041309</v>
      </c>
      <c r="T40" s="16"/>
      <c r="U40" s="17">
        <f>SUM(pop_cru_60mais!AH21:BL21)</f>
        <v>19518950</v>
      </c>
      <c r="V40" s="18"/>
      <c r="W40" s="4">
        <f>aids_60mais_sexo!B16/Análise_aids_60mais!S40</f>
        <v>1.2332703224167524E-4</v>
      </c>
      <c r="X40" s="4">
        <f>aids_60mais_sexo!C16/Análise_aids_60mais!U40</f>
        <v>5.7175206658145031E-5</v>
      </c>
      <c r="Z40" s="9">
        <v>2024</v>
      </c>
      <c r="AA40" s="5">
        <f>SUM(pop_cru_60mais!C36:AG36)</f>
        <v>929062</v>
      </c>
      <c r="AB40" s="6">
        <f>SUM(pop_cru_60mais!C51:AG51)</f>
        <v>3561573</v>
      </c>
      <c r="AC40" s="5">
        <f>SUM(pop_cru_60mais!C81:AG81)</f>
        <v>2594909</v>
      </c>
      <c r="AD40" s="6">
        <f>SUM(pop_cru_60mais!C66:AG66)</f>
        <v>7188771</v>
      </c>
      <c r="AE40" s="6">
        <f>SUM(pop_cru_60mais!C96:AG96)</f>
        <v>1085949</v>
      </c>
      <c r="AG40" s="9">
        <v>2024</v>
      </c>
      <c r="AH40" s="6">
        <f>SUM(pop_cru_60mais!AH36:BL36)</f>
        <v>1011232</v>
      </c>
      <c r="AI40" s="6">
        <f>SUM(pop_cru_60mais!AH51:BL51)</f>
        <v>4682670</v>
      </c>
      <c r="AJ40" s="6">
        <f>SUM(pop_cru_60mais!AH81:BL81)</f>
        <v>3248241</v>
      </c>
      <c r="AK40" s="6">
        <f>SUM(pop_cru_60mais!AH66:BL66)</f>
        <v>9294098</v>
      </c>
      <c r="AL40" s="6">
        <f>SUM(pop_cru_60mais!AH96:BL96)</f>
        <v>1282709</v>
      </c>
    </row>
  </sheetData>
  <mergeCells count="36">
    <mergeCell ref="S30:T30"/>
    <mergeCell ref="U30:V30"/>
    <mergeCell ref="S31:T31"/>
    <mergeCell ref="U31:V31"/>
    <mergeCell ref="S27:T27"/>
    <mergeCell ref="U27:V27"/>
    <mergeCell ref="S28:T28"/>
    <mergeCell ref="U28:V28"/>
    <mergeCell ref="S29:T29"/>
    <mergeCell ref="U29:V29"/>
    <mergeCell ref="S39:T39"/>
    <mergeCell ref="U39:V39"/>
    <mergeCell ref="S40:T40"/>
    <mergeCell ref="U40:V40"/>
    <mergeCell ref="S35:T35"/>
    <mergeCell ref="U35:V35"/>
    <mergeCell ref="S36:T36"/>
    <mergeCell ref="U36:V36"/>
    <mergeCell ref="S37:T37"/>
    <mergeCell ref="U37:V37"/>
    <mergeCell ref="W24:X24"/>
    <mergeCell ref="Z24:AE24"/>
    <mergeCell ref="AG24:AL24"/>
    <mergeCell ref="S38:T38"/>
    <mergeCell ref="U38:V38"/>
    <mergeCell ref="S32:T32"/>
    <mergeCell ref="U32:V32"/>
    <mergeCell ref="S33:T33"/>
    <mergeCell ref="U33:V33"/>
    <mergeCell ref="S34:T34"/>
    <mergeCell ref="U34:V34"/>
    <mergeCell ref="R24:V24"/>
    <mergeCell ref="S25:T25"/>
    <mergeCell ref="U25:V25"/>
    <mergeCell ref="S26:T26"/>
    <mergeCell ref="U26:V26"/>
  </mergeCells>
  <pageMargins left="0.511811024" right="0.511811024" top="0.78740157499999996" bottom="0.78740157499999996" header="0.31496062000000002" footer="0.31496062000000002"/>
  <pageSetup paperSize="9" orientation="portrait" horizontalDpi="0" verticalDpi="0" r:id="rId1"/>
  <ignoredErrors>
    <ignoredError sqref="S26:S27 U26 U27:V40 S28:T40 AA26:AE40 AH26:AH40 AI26:AL4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9010E-BFE4-4939-8E8B-85399D440DEC}">
  <sheetPr>
    <tabColor rgb="FFFFFF00"/>
  </sheetPr>
  <dimension ref="D2:F18"/>
  <sheetViews>
    <sheetView showGridLines="0" workbookViewId="0">
      <selection activeCell="F8" sqref="F8"/>
    </sheetView>
  </sheetViews>
  <sheetFormatPr defaultRowHeight="15" x14ac:dyDescent="0.25"/>
  <cols>
    <col min="4" max="4" width="82.5703125" customWidth="1"/>
    <col min="6" max="6" width="67.28515625" customWidth="1"/>
  </cols>
  <sheetData>
    <row r="2" spans="4:6" ht="18.75" x14ac:dyDescent="0.3">
      <c r="D2" s="31" t="s">
        <v>109</v>
      </c>
      <c r="F2" s="30" t="s">
        <v>117</v>
      </c>
    </row>
    <row r="3" spans="4:6" x14ac:dyDescent="0.25">
      <c r="F3" s="27"/>
    </row>
    <row r="4" spans="4:6" ht="71.25" customHeight="1" x14ac:dyDescent="0.25">
      <c r="D4" s="25" t="s">
        <v>110</v>
      </c>
      <c r="F4" s="28" t="s">
        <v>118</v>
      </c>
    </row>
    <row r="5" spans="4:6" ht="60" x14ac:dyDescent="0.25">
      <c r="D5" s="24" t="s">
        <v>111</v>
      </c>
      <c r="F5" s="28" t="s">
        <v>119</v>
      </c>
    </row>
    <row r="6" spans="4:6" ht="60" x14ac:dyDescent="0.25">
      <c r="D6" s="24" t="s">
        <v>112</v>
      </c>
      <c r="F6" s="29" t="s">
        <v>120</v>
      </c>
    </row>
    <row r="7" spans="4:6" ht="60" x14ac:dyDescent="0.25">
      <c r="D7" s="24" t="s">
        <v>113</v>
      </c>
    </row>
    <row r="8" spans="4:6" ht="45" x14ac:dyDescent="0.25">
      <c r="D8" s="24" t="s">
        <v>114</v>
      </c>
    </row>
    <row r="9" spans="4:6" ht="75" x14ac:dyDescent="0.25">
      <c r="D9" s="24" t="s">
        <v>115</v>
      </c>
    </row>
    <row r="10" spans="4:6" ht="60" x14ac:dyDescent="0.25">
      <c r="D10" s="24" t="s">
        <v>116</v>
      </c>
    </row>
    <row r="11" spans="4:6" x14ac:dyDescent="0.25">
      <c r="D11" s="26"/>
    </row>
    <row r="12" spans="4:6" x14ac:dyDescent="0.25">
      <c r="D12" s="26"/>
    </row>
    <row r="13" spans="4:6" x14ac:dyDescent="0.25">
      <c r="D13" s="26"/>
    </row>
    <row r="14" spans="4:6" x14ac:dyDescent="0.25">
      <c r="D14" s="26"/>
    </row>
    <row r="15" spans="4:6" x14ac:dyDescent="0.25">
      <c r="D15" s="26"/>
    </row>
    <row r="16" spans="4:6" x14ac:dyDescent="0.25">
      <c r="D16" s="26"/>
    </row>
    <row r="17" spans="4:4" x14ac:dyDescent="0.25">
      <c r="D17" s="26"/>
    </row>
    <row r="18" spans="4:4" x14ac:dyDescent="0.25">
      <c r="D18" s="26"/>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19511-CD5D-4ED2-9547-12F4EF43657A}">
  <dimension ref="A1:Q29"/>
  <sheetViews>
    <sheetView workbookViewId="0">
      <selection activeCell="K30" sqref="K30"/>
    </sheetView>
  </sheetViews>
  <sheetFormatPr defaultRowHeight="15" x14ac:dyDescent="0.25"/>
  <cols>
    <col min="1" max="1" width="19.28515625" bestFit="1" customWidth="1"/>
    <col min="2" max="16" width="7.28515625" bestFit="1" customWidth="1"/>
  </cols>
  <sheetData>
    <row r="1" spans="1:17" x14ac:dyDescent="0.25">
      <c r="A1" t="s">
        <v>44</v>
      </c>
      <c r="B1" t="s">
        <v>20</v>
      </c>
      <c r="C1" t="s">
        <v>21</v>
      </c>
      <c r="D1" t="s">
        <v>22</v>
      </c>
      <c r="E1" t="s">
        <v>23</v>
      </c>
      <c r="F1" t="s">
        <v>24</v>
      </c>
      <c r="G1" t="s">
        <v>25</v>
      </c>
      <c r="H1" t="s">
        <v>26</v>
      </c>
      <c r="I1" t="s">
        <v>27</v>
      </c>
      <c r="J1" t="s">
        <v>28</v>
      </c>
      <c r="K1" t="s">
        <v>29</v>
      </c>
      <c r="L1" t="s">
        <v>30</v>
      </c>
      <c r="M1" t="s">
        <v>31</v>
      </c>
      <c r="N1" t="s">
        <v>32</v>
      </c>
      <c r="O1" t="s">
        <v>33</v>
      </c>
      <c r="P1" t="s">
        <v>34</v>
      </c>
      <c r="Q1" t="s">
        <v>0</v>
      </c>
    </row>
    <row r="2" spans="1:17" hidden="1" x14ac:dyDescent="0.25">
      <c r="A2" t="s">
        <v>1</v>
      </c>
      <c r="B2">
        <v>1</v>
      </c>
      <c r="C2">
        <v>5</v>
      </c>
      <c r="D2">
        <v>3</v>
      </c>
      <c r="E2">
        <v>1</v>
      </c>
      <c r="F2">
        <v>0</v>
      </c>
      <c r="G2">
        <v>0</v>
      </c>
      <c r="H2">
        <v>0</v>
      </c>
      <c r="I2">
        <v>2</v>
      </c>
      <c r="J2">
        <v>1</v>
      </c>
      <c r="K2">
        <v>0</v>
      </c>
      <c r="L2">
        <v>0</v>
      </c>
      <c r="M2">
        <v>1</v>
      </c>
      <c r="N2">
        <v>0</v>
      </c>
      <c r="O2">
        <v>0</v>
      </c>
      <c r="P2">
        <v>0</v>
      </c>
      <c r="Q2">
        <f>SUM(aids_60mais_estado[[#This Row],[2010]:[2024]])</f>
        <v>14</v>
      </c>
    </row>
    <row r="3" spans="1:17" x14ac:dyDescent="0.25">
      <c r="A3" t="s">
        <v>53</v>
      </c>
      <c r="B3">
        <v>346</v>
      </c>
      <c r="C3">
        <v>370</v>
      </c>
      <c r="D3">
        <v>336</v>
      </c>
      <c r="E3">
        <v>378</v>
      </c>
      <c r="F3">
        <v>352</v>
      </c>
      <c r="G3">
        <v>380</v>
      </c>
      <c r="H3">
        <v>417</v>
      </c>
      <c r="I3">
        <v>403</v>
      </c>
      <c r="J3">
        <v>451</v>
      </c>
      <c r="K3">
        <v>398</v>
      </c>
      <c r="L3">
        <v>346</v>
      </c>
      <c r="M3">
        <v>392</v>
      </c>
      <c r="N3">
        <v>437</v>
      </c>
      <c r="O3">
        <v>429</v>
      </c>
      <c r="P3">
        <v>469</v>
      </c>
      <c r="Q3">
        <f>SUM(aids_60mais_estado[[#This Row],[2010]:[2024]])</f>
        <v>5904</v>
      </c>
    </row>
    <row r="4" spans="1:17" x14ac:dyDescent="0.25">
      <c r="A4" t="s">
        <v>14</v>
      </c>
      <c r="B4">
        <v>209</v>
      </c>
      <c r="C4">
        <v>245</v>
      </c>
      <c r="D4">
        <v>259</v>
      </c>
      <c r="E4">
        <v>289</v>
      </c>
      <c r="F4">
        <v>277</v>
      </c>
      <c r="G4">
        <v>252</v>
      </c>
      <c r="H4">
        <v>275</v>
      </c>
      <c r="I4">
        <v>272</v>
      </c>
      <c r="J4">
        <v>312</v>
      </c>
      <c r="K4">
        <v>299</v>
      </c>
      <c r="L4">
        <v>245</v>
      </c>
      <c r="M4">
        <v>269</v>
      </c>
      <c r="N4">
        <v>309</v>
      </c>
      <c r="O4">
        <v>324</v>
      </c>
      <c r="P4">
        <v>343</v>
      </c>
      <c r="Q4">
        <f>SUM(aids_60mais_estado[[#This Row],[2010]:[2024]])</f>
        <v>4179</v>
      </c>
    </row>
    <row r="5" spans="1:17" x14ac:dyDescent="0.25">
      <c r="A5" t="s">
        <v>12</v>
      </c>
      <c r="B5">
        <v>217</v>
      </c>
      <c r="C5">
        <v>221</v>
      </c>
      <c r="D5">
        <v>231</v>
      </c>
      <c r="E5">
        <v>252</v>
      </c>
      <c r="F5">
        <v>243</v>
      </c>
      <c r="G5">
        <v>255</v>
      </c>
      <c r="H5">
        <v>212</v>
      </c>
      <c r="I5">
        <v>249</v>
      </c>
      <c r="J5">
        <v>222</v>
      </c>
      <c r="K5">
        <v>256</v>
      </c>
      <c r="L5">
        <v>210</v>
      </c>
      <c r="M5">
        <v>254</v>
      </c>
      <c r="N5">
        <v>250</v>
      </c>
      <c r="O5">
        <v>305</v>
      </c>
      <c r="P5">
        <v>280</v>
      </c>
      <c r="Q5">
        <f>SUM(aids_60mais_estado[[#This Row],[2010]:[2024]])</f>
        <v>3657</v>
      </c>
    </row>
    <row r="6" spans="1:17" x14ac:dyDescent="0.25">
      <c r="A6" t="s">
        <v>11</v>
      </c>
      <c r="B6">
        <v>148</v>
      </c>
      <c r="C6">
        <v>171</v>
      </c>
      <c r="D6">
        <v>153</v>
      </c>
      <c r="E6">
        <v>190</v>
      </c>
      <c r="F6">
        <v>169</v>
      </c>
      <c r="G6">
        <v>145</v>
      </c>
      <c r="H6">
        <v>168</v>
      </c>
      <c r="I6">
        <v>166</v>
      </c>
      <c r="J6">
        <v>183</v>
      </c>
      <c r="K6">
        <v>186</v>
      </c>
      <c r="L6">
        <v>153</v>
      </c>
      <c r="M6">
        <v>183</v>
      </c>
      <c r="N6">
        <v>183</v>
      </c>
      <c r="O6">
        <v>203</v>
      </c>
      <c r="P6">
        <v>216</v>
      </c>
      <c r="Q6">
        <f>SUM(aids_60mais_estado[[#This Row],[2010]:[2024]])</f>
        <v>2617</v>
      </c>
    </row>
    <row r="7" spans="1:17" x14ac:dyDescent="0.25">
      <c r="A7" t="s">
        <v>54</v>
      </c>
      <c r="B7">
        <v>90</v>
      </c>
      <c r="C7">
        <v>97</v>
      </c>
      <c r="D7">
        <v>109</v>
      </c>
      <c r="E7">
        <v>97</v>
      </c>
      <c r="F7">
        <v>99</v>
      </c>
      <c r="G7">
        <v>134</v>
      </c>
      <c r="H7">
        <v>124</v>
      </c>
      <c r="I7">
        <v>122</v>
      </c>
      <c r="J7">
        <v>141</v>
      </c>
      <c r="K7">
        <v>172</v>
      </c>
      <c r="L7">
        <v>126</v>
      </c>
      <c r="M7">
        <v>130</v>
      </c>
      <c r="N7">
        <v>164</v>
      </c>
      <c r="O7">
        <v>158</v>
      </c>
      <c r="P7">
        <v>183</v>
      </c>
      <c r="Q7">
        <f>SUM(aids_60mais_estado[[#This Row],[2010]:[2024]])</f>
        <v>1946</v>
      </c>
    </row>
    <row r="8" spans="1:17" x14ac:dyDescent="0.25">
      <c r="A8" t="s">
        <v>13</v>
      </c>
      <c r="B8">
        <v>79</v>
      </c>
      <c r="C8">
        <v>100</v>
      </c>
      <c r="D8">
        <v>108</v>
      </c>
      <c r="E8">
        <v>100</v>
      </c>
      <c r="F8">
        <v>110</v>
      </c>
      <c r="G8">
        <v>162</v>
      </c>
      <c r="H8">
        <v>141</v>
      </c>
      <c r="I8">
        <v>135</v>
      </c>
      <c r="J8">
        <v>148</v>
      </c>
      <c r="K8">
        <v>125</v>
      </c>
      <c r="L8">
        <v>120</v>
      </c>
      <c r="M8">
        <v>152</v>
      </c>
      <c r="N8">
        <v>150</v>
      </c>
      <c r="O8">
        <v>145</v>
      </c>
      <c r="P8">
        <v>142</v>
      </c>
      <c r="Q8">
        <f>SUM(aids_60mais_estado[[#This Row],[2010]:[2024]])</f>
        <v>1917</v>
      </c>
    </row>
    <row r="9" spans="1:17" x14ac:dyDescent="0.25">
      <c r="A9" t="s">
        <v>10</v>
      </c>
      <c r="B9">
        <v>56</v>
      </c>
      <c r="C9">
        <v>65</v>
      </c>
      <c r="D9">
        <v>87</v>
      </c>
      <c r="E9">
        <v>101</v>
      </c>
      <c r="F9">
        <v>98</v>
      </c>
      <c r="G9">
        <v>90</v>
      </c>
      <c r="H9">
        <v>112</v>
      </c>
      <c r="I9">
        <v>118</v>
      </c>
      <c r="J9">
        <v>122</v>
      </c>
      <c r="K9">
        <v>145</v>
      </c>
      <c r="L9">
        <v>87</v>
      </c>
      <c r="M9">
        <v>133</v>
      </c>
      <c r="N9">
        <v>133</v>
      </c>
      <c r="O9">
        <v>153</v>
      </c>
      <c r="P9">
        <v>173</v>
      </c>
      <c r="Q9">
        <f>SUM(aids_60mais_estado[[#This Row],[2010]:[2024]])</f>
        <v>1673</v>
      </c>
    </row>
    <row r="10" spans="1:17" x14ac:dyDescent="0.25">
      <c r="A10" t="s">
        <v>46</v>
      </c>
      <c r="B10">
        <v>44</v>
      </c>
      <c r="C10">
        <v>54</v>
      </c>
      <c r="D10">
        <v>63</v>
      </c>
      <c r="E10">
        <v>66</v>
      </c>
      <c r="F10">
        <v>91</v>
      </c>
      <c r="G10">
        <v>106</v>
      </c>
      <c r="H10">
        <v>99</v>
      </c>
      <c r="I10">
        <v>83</v>
      </c>
      <c r="J10">
        <v>141</v>
      </c>
      <c r="K10">
        <v>116</v>
      </c>
      <c r="L10">
        <v>88</v>
      </c>
      <c r="M10">
        <v>126</v>
      </c>
      <c r="N10">
        <v>141</v>
      </c>
      <c r="O10">
        <v>166</v>
      </c>
      <c r="P10">
        <v>165</v>
      </c>
      <c r="Q10">
        <f>SUM(aids_60mais_estado[[#This Row],[2010]:[2024]])</f>
        <v>1549</v>
      </c>
    </row>
    <row r="11" spans="1:17" x14ac:dyDescent="0.25">
      <c r="A11" t="s">
        <v>7</v>
      </c>
      <c r="B11">
        <v>56</v>
      </c>
      <c r="C11">
        <v>56</v>
      </c>
      <c r="D11">
        <v>66</v>
      </c>
      <c r="E11">
        <v>96</v>
      </c>
      <c r="F11">
        <v>74</v>
      </c>
      <c r="G11">
        <v>74</v>
      </c>
      <c r="H11">
        <v>85</v>
      </c>
      <c r="I11">
        <v>109</v>
      </c>
      <c r="J11">
        <v>104</v>
      </c>
      <c r="K11">
        <v>92</v>
      </c>
      <c r="L11">
        <v>83</v>
      </c>
      <c r="M11">
        <v>102</v>
      </c>
      <c r="N11">
        <v>100</v>
      </c>
      <c r="O11">
        <v>107</v>
      </c>
      <c r="P11">
        <v>125</v>
      </c>
      <c r="Q11">
        <f>SUM(aids_60mais_estado[[#This Row],[2010]:[2024]])</f>
        <v>1329</v>
      </c>
    </row>
    <row r="12" spans="1:17" x14ac:dyDescent="0.25">
      <c r="A12" t="s">
        <v>48</v>
      </c>
      <c r="B12">
        <v>29</v>
      </c>
      <c r="C12">
        <v>49</v>
      </c>
      <c r="D12">
        <v>32</v>
      </c>
      <c r="E12">
        <v>55</v>
      </c>
      <c r="F12">
        <v>66</v>
      </c>
      <c r="G12">
        <v>80</v>
      </c>
      <c r="H12">
        <v>76</v>
      </c>
      <c r="I12">
        <v>73</v>
      </c>
      <c r="J12">
        <v>95</v>
      </c>
      <c r="K12">
        <v>94</v>
      </c>
      <c r="L12">
        <v>68</v>
      </c>
      <c r="M12">
        <v>88</v>
      </c>
      <c r="N12">
        <v>100</v>
      </c>
      <c r="O12">
        <v>118</v>
      </c>
      <c r="P12">
        <v>119</v>
      </c>
      <c r="Q12">
        <f>SUM(aids_60mais_estado[[#This Row],[2010]:[2024]])</f>
        <v>1142</v>
      </c>
    </row>
    <row r="13" spans="1:17" x14ac:dyDescent="0.25">
      <c r="A13" t="s">
        <v>50</v>
      </c>
      <c r="B13">
        <v>31</v>
      </c>
      <c r="C13">
        <v>35</v>
      </c>
      <c r="D13">
        <v>49</v>
      </c>
      <c r="E13">
        <v>55</v>
      </c>
      <c r="F13">
        <v>62</v>
      </c>
      <c r="G13">
        <v>52</v>
      </c>
      <c r="H13">
        <v>76</v>
      </c>
      <c r="I13">
        <v>47</v>
      </c>
      <c r="J13">
        <v>76</v>
      </c>
      <c r="K13">
        <v>81</v>
      </c>
      <c r="L13">
        <v>54</v>
      </c>
      <c r="M13">
        <v>56</v>
      </c>
      <c r="N13">
        <v>90</v>
      </c>
      <c r="O13">
        <v>91</v>
      </c>
      <c r="P13">
        <v>127</v>
      </c>
      <c r="Q13">
        <f>SUM(aids_60mais_estado[[#This Row],[2010]:[2024]])</f>
        <v>982</v>
      </c>
    </row>
    <row r="14" spans="1:17" x14ac:dyDescent="0.25">
      <c r="A14" t="s">
        <v>55</v>
      </c>
      <c r="B14">
        <v>24</v>
      </c>
      <c r="C14">
        <v>41</v>
      </c>
      <c r="D14">
        <v>44</v>
      </c>
      <c r="E14">
        <v>46</v>
      </c>
      <c r="F14">
        <v>51</v>
      </c>
      <c r="G14">
        <v>32</v>
      </c>
      <c r="H14">
        <v>52</v>
      </c>
      <c r="I14">
        <v>69</v>
      </c>
      <c r="J14">
        <v>44</v>
      </c>
      <c r="K14">
        <v>60</v>
      </c>
      <c r="L14">
        <v>46</v>
      </c>
      <c r="M14">
        <v>68</v>
      </c>
      <c r="N14">
        <v>55</v>
      </c>
      <c r="O14">
        <v>78</v>
      </c>
      <c r="P14">
        <v>75</v>
      </c>
      <c r="Q14">
        <f>SUM(aids_60mais_estado[[#This Row],[2010]:[2024]])</f>
        <v>785</v>
      </c>
    </row>
    <row r="15" spans="1:17" x14ac:dyDescent="0.25">
      <c r="A15" t="s">
        <v>52</v>
      </c>
      <c r="B15">
        <v>28</v>
      </c>
      <c r="C15">
        <v>32</v>
      </c>
      <c r="D15">
        <v>47</v>
      </c>
      <c r="E15">
        <v>45</v>
      </c>
      <c r="F15">
        <v>53</v>
      </c>
      <c r="G15">
        <v>55</v>
      </c>
      <c r="H15">
        <v>44</v>
      </c>
      <c r="I15">
        <v>57</v>
      </c>
      <c r="J15">
        <v>52</v>
      </c>
      <c r="K15">
        <v>59</v>
      </c>
      <c r="L15">
        <v>45</v>
      </c>
      <c r="M15">
        <v>54</v>
      </c>
      <c r="N15">
        <v>59</v>
      </c>
      <c r="O15">
        <v>72</v>
      </c>
      <c r="P15">
        <v>62</v>
      </c>
      <c r="Q15">
        <f>SUM(aids_60mais_estado[[#This Row],[2010]:[2024]])</f>
        <v>764</v>
      </c>
    </row>
    <row r="16" spans="1:17" x14ac:dyDescent="0.25">
      <c r="A16" t="s">
        <v>16</v>
      </c>
      <c r="B16">
        <v>27</v>
      </c>
      <c r="C16">
        <v>29</v>
      </c>
      <c r="D16">
        <v>25</v>
      </c>
      <c r="E16">
        <v>42</v>
      </c>
      <c r="F16">
        <v>45</v>
      </c>
      <c r="G16">
        <v>40</v>
      </c>
      <c r="H16">
        <v>32</v>
      </c>
      <c r="I16">
        <v>60</v>
      </c>
      <c r="J16">
        <v>52</v>
      </c>
      <c r="K16">
        <v>52</v>
      </c>
      <c r="L16">
        <v>32</v>
      </c>
      <c r="M16">
        <v>42</v>
      </c>
      <c r="N16">
        <v>53</v>
      </c>
      <c r="O16">
        <v>55</v>
      </c>
      <c r="P16">
        <v>61</v>
      </c>
      <c r="Q16">
        <f>SUM(aids_60mais_estado[[#This Row],[2010]:[2024]])</f>
        <v>647</v>
      </c>
    </row>
    <row r="17" spans="1:17" x14ac:dyDescent="0.25">
      <c r="A17" t="s">
        <v>3</v>
      </c>
      <c r="B17">
        <v>21</v>
      </c>
      <c r="C17">
        <v>21</v>
      </c>
      <c r="D17">
        <v>19</v>
      </c>
      <c r="E17">
        <v>36</v>
      </c>
      <c r="F17">
        <v>41</v>
      </c>
      <c r="G17">
        <v>27</v>
      </c>
      <c r="H17">
        <v>39</v>
      </c>
      <c r="I17">
        <v>47</v>
      </c>
      <c r="J17">
        <v>47</v>
      </c>
      <c r="K17">
        <v>35</v>
      </c>
      <c r="L17">
        <v>38</v>
      </c>
      <c r="M17">
        <v>56</v>
      </c>
      <c r="N17">
        <v>67</v>
      </c>
      <c r="O17">
        <v>66</v>
      </c>
      <c r="P17">
        <v>71</v>
      </c>
      <c r="Q17">
        <f>SUM(aids_60mais_estado[[#This Row],[2010]:[2024]])</f>
        <v>631</v>
      </c>
    </row>
    <row r="18" spans="1:17" x14ac:dyDescent="0.25">
      <c r="A18" t="s">
        <v>15</v>
      </c>
      <c r="B18">
        <v>21</v>
      </c>
      <c r="C18">
        <v>24</v>
      </c>
      <c r="D18">
        <v>35</v>
      </c>
      <c r="E18">
        <v>31</v>
      </c>
      <c r="F18">
        <v>31</v>
      </c>
      <c r="G18">
        <v>28</v>
      </c>
      <c r="H18">
        <v>46</v>
      </c>
      <c r="I18">
        <v>47</v>
      </c>
      <c r="J18">
        <v>39</v>
      </c>
      <c r="K18">
        <v>49</v>
      </c>
      <c r="L18">
        <v>32</v>
      </c>
      <c r="M18">
        <v>50</v>
      </c>
      <c r="N18">
        <v>59</v>
      </c>
      <c r="O18">
        <v>57</v>
      </c>
      <c r="P18">
        <v>70</v>
      </c>
      <c r="Q18">
        <f>SUM(aids_60mais_estado[[#This Row],[2010]:[2024]])</f>
        <v>619</v>
      </c>
    </row>
    <row r="19" spans="1:17" x14ac:dyDescent="0.25">
      <c r="A19" t="s">
        <v>6</v>
      </c>
      <c r="B19">
        <v>18</v>
      </c>
      <c r="C19">
        <v>18</v>
      </c>
      <c r="D19">
        <v>27</v>
      </c>
      <c r="E19">
        <v>27</v>
      </c>
      <c r="F19">
        <v>41</v>
      </c>
      <c r="G19">
        <v>28</v>
      </c>
      <c r="H19">
        <v>41</v>
      </c>
      <c r="I19">
        <v>35</v>
      </c>
      <c r="J19">
        <v>39</v>
      </c>
      <c r="K19">
        <v>46</v>
      </c>
      <c r="L19">
        <v>29</v>
      </c>
      <c r="M19">
        <v>51</v>
      </c>
      <c r="N19">
        <v>47</v>
      </c>
      <c r="O19">
        <v>52</v>
      </c>
      <c r="P19">
        <v>39</v>
      </c>
      <c r="Q19">
        <f>SUM(aids_60mais_estado[[#This Row],[2010]:[2024]])</f>
        <v>538</v>
      </c>
    </row>
    <row r="20" spans="1:17" x14ac:dyDescent="0.25">
      <c r="A20" t="s">
        <v>8</v>
      </c>
      <c r="B20">
        <v>7</v>
      </c>
      <c r="C20">
        <v>15</v>
      </c>
      <c r="D20">
        <v>10</v>
      </c>
      <c r="E20">
        <v>10</v>
      </c>
      <c r="F20">
        <v>16</v>
      </c>
      <c r="G20">
        <v>14</v>
      </c>
      <c r="H20">
        <v>21</v>
      </c>
      <c r="I20">
        <v>33</v>
      </c>
      <c r="J20">
        <v>42</v>
      </c>
      <c r="K20">
        <v>31</v>
      </c>
      <c r="L20">
        <v>26</v>
      </c>
      <c r="M20">
        <v>35</v>
      </c>
      <c r="N20">
        <v>49</v>
      </c>
      <c r="O20">
        <v>32</v>
      </c>
      <c r="P20">
        <v>51</v>
      </c>
      <c r="Q20">
        <f>SUM(aids_60mais_estado[[#This Row],[2010]:[2024]])</f>
        <v>392</v>
      </c>
    </row>
    <row r="21" spans="1:17" x14ac:dyDescent="0.25">
      <c r="A21" t="s">
        <v>49</v>
      </c>
      <c r="B21">
        <v>20</v>
      </c>
      <c r="C21">
        <v>15</v>
      </c>
      <c r="D21">
        <v>28</v>
      </c>
      <c r="E21">
        <v>22</v>
      </c>
      <c r="F21">
        <v>19</v>
      </c>
      <c r="G21">
        <v>25</v>
      </c>
      <c r="H21">
        <v>26</v>
      </c>
      <c r="I21">
        <v>24</v>
      </c>
      <c r="J21">
        <v>23</v>
      </c>
      <c r="K21">
        <v>25</v>
      </c>
      <c r="L21">
        <v>21</v>
      </c>
      <c r="M21">
        <v>35</v>
      </c>
      <c r="N21">
        <v>31</v>
      </c>
      <c r="O21">
        <v>29</v>
      </c>
      <c r="P21">
        <v>27</v>
      </c>
      <c r="Q21">
        <f>SUM(aids_60mais_estado[[#This Row],[2010]:[2024]])</f>
        <v>370</v>
      </c>
    </row>
    <row r="22" spans="1:17" x14ac:dyDescent="0.25">
      <c r="A22" t="s">
        <v>51</v>
      </c>
      <c r="B22">
        <v>10</v>
      </c>
      <c r="C22">
        <v>21</v>
      </c>
      <c r="D22">
        <v>20</v>
      </c>
      <c r="E22">
        <v>23</v>
      </c>
      <c r="F22">
        <v>17</v>
      </c>
      <c r="G22">
        <v>19</v>
      </c>
      <c r="H22">
        <v>24</v>
      </c>
      <c r="I22">
        <v>24</v>
      </c>
      <c r="J22">
        <v>30</v>
      </c>
      <c r="K22">
        <v>31</v>
      </c>
      <c r="L22">
        <v>30</v>
      </c>
      <c r="M22">
        <v>23</v>
      </c>
      <c r="N22">
        <v>21</v>
      </c>
      <c r="O22">
        <v>36</v>
      </c>
      <c r="P22">
        <v>35</v>
      </c>
      <c r="Q22">
        <f>SUM(aids_60mais_estado[[#This Row],[2010]:[2024]])</f>
        <v>364</v>
      </c>
    </row>
    <row r="23" spans="1:17" x14ac:dyDescent="0.25">
      <c r="A23" t="s">
        <v>17</v>
      </c>
      <c r="B23">
        <v>12</v>
      </c>
      <c r="C23">
        <v>17</v>
      </c>
      <c r="D23">
        <v>15</v>
      </c>
      <c r="E23">
        <v>21</v>
      </c>
      <c r="F23">
        <v>19</v>
      </c>
      <c r="G23">
        <v>22</v>
      </c>
      <c r="H23">
        <v>20</v>
      </c>
      <c r="I23">
        <v>24</v>
      </c>
      <c r="J23">
        <v>19</v>
      </c>
      <c r="K23">
        <v>25</v>
      </c>
      <c r="L23">
        <v>19</v>
      </c>
      <c r="M23">
        <v>25</v>
      </c>
      <c r="N23">
        <v>22</v>
      </c>
      <c r="O23">
        <v>32</v>
      </c>
      <c r="P23">
        <v>21</v>
      </c>
      <c r="Q23">
        <f>SUM(aids_60mais_estado[[#This Row],[2010]:[2024]])</f>
        <v>313</v>
      </c>
    </row>
    <row r="24" spans="1:17" x14ac:dyDescent="0.25">
      <c r="A24" t="s">
        <v>9</v>
      </c>
      <c r="B24">
        <v>10</v>
      </c>
      <c r="C24">
        <v>9</v>
      </c>
      <c r="D24">
        <v>7</v>
      </c>
      <c r="E24">
        <v>20</v>
      </c>
      <c r="F24">
        <v>14</v>
      </c>
      <c r="G24">
        <v>26</v>
      </c>
      <c r="H24">
        <v>22</v>
      </c>
      <c r="I24">
        <v>13</v>
      </c>
      <c r="J24">
        <v>20</v>
      </c>
      <c r="K24">
        <v>24</v>
      </c>
      <c r="L24">
        <v>20</v>
      </c>
      <c r="M24">
        <v>23</v>
      </c>
      <c r="N24">
        <v>28</v>
      </c>
      <c r="O24">
        <v>32</v>
      </c>
      <c r="P24">
        <v>20</v>
      </c>
      <c r="Q24">
        <f>SUM(aids_60mais_estado[[#This Row],[2010]:[2024]])</f>
        <v>288</v>
      </c>
    </row>
    <row r="25" spans="1:17" x14ac:dyDescent="0.25">
      <c r="A25" t="s">
        <v>45</v>
      </c>
      <c r="B25">
        <v>11</v>
      </c>
      <c r="C25">
        <v>15</v>
      </c>
      <c r="D25">
        <v>12</v>
      </c>
      <c r="E25">
        <v>15</v>
      </c>
      <c r="F25">
        <v>21</v>
      </c>
      <c r="G25">
        <v>13</v>
      </c>
      <c r="H25">
        <v>18</v>
      </c>
      <c r="I25">
        <v>30</v>
      </c>
      <c r="J25">
        <v>17</v>
      </c>
      <c r="K25">
        <v>15</v>
      </c>
      <c r="L25">
        <v>15</v>
      </c>
      <c r="M25">
        <v>27</v>
      </c>
      <c r="N25">
        <v>19</v>
      </c>
      <c r="O25">
        <v>27</v>
      </c>
      <c r="P25">
        <v>29</v>
      </c>
      <c r="Q25">
        <f>SUM(aids_60mais_estado[[#This Row],[2010]:[2024]])</f>
        <v>284</v>
      </c>
    </row>
    <row r="26" spans="1:17" x14ac:dyDescent="0.25">
      <c r="A26" t="s">
        <v>5</v>
      </c>
      <c r="B26">
        <v>7</v>
      </c>
      <c r="C26">
        <v>7</v>
      </c>
      <c r="D26">
        <v>7</v>
      </c>
      <c r="E26">
        <v>9</v>
      </c>
      <c r="F26">
        <v>12</v>
      </c>
      <c r="G26">
        <v>8</v>
      </c>
      <c r="H26">
        <v>17</v>
      </c>
      <c r="I26">
        <v>18</v>
      </c>
      <c r="J26">
        <v>11</v>
      </c>
      <c r="K26">
        <v>10</v>
      </c>
      <c r="L26">
        <v>11</v>
      </c>
      <c r="M26">
        <v>9</v>
      </c>
      <c r="N26">
        <v>15</v>
      </c>
      <c r="O26">
        <v>26</v>
      </c>
      <c r="P26">
        <v>28</v>
      </c>
      <c r="Q26">
        <f>SUM(aids_60mais_estado[[#This Row],[2010]:[2024]])</f>
        <v>195</v>
      </c>
    </row>
    <row r="27" spans="1:17" x14ac:dyDescent="0.25">
      <c r="A27" t="s">
        <v>47</v>
      </c>
      <c r="B27">
        <v>1</v>
      </c>
      <c r="C27">
        <v>7</v>
      </c>
      <c r="D27">
        <v>6</v>
      </c>
      <c r="E27">
        <v>14</v>
      </c>
      <c r="F27">
        <v>7</v>
      </c>
      <c r="G27">
        <v>4</v>
      </c>
      <c r="H27">
        <v>10</v>
      </c>
      <c r="I27">
        <v>7</v>
      </c>
      <c r="J27">
        <v>4</v>
      </c>
      <c r="K27">
        <v>7</v>
      </c>
      <c r="L27">
        <v>4</v>
      </c>
      <c r="M27">
        <v>10</v>
      </c>
      <c r="N27">
        <v>11</v>
      </c>
      <c r="O27">
        <v>15</v>
      </c>
      <c r="P27">
        <v>20</v>
      </c>
      <c r="Q27">
        <f>SUM(aids_60mais_estado[[#This Row],[2010]:[2024]])</f>
        <v>127</v>
      </c>
    </row>
    <row r="28" spans="1:17" x14ac:dyDescent="0.25">
      <c r="A28" t="s">
        <v>4</v>
      </c>
      <c r="B28">
        <v>8</v>
      </c>
      <c r="C28">
        <v>5</v>
      </c>
      <c r="D28">
        <v>3</v>
      </c>
      <c r="E28">
        <v>7</v>
      </c>
      <c r="F28">
        <v>3</v>
      </c>
      <c r="G28">
        <v>8</v>
      </c>
      <c r="H28">
        <v>8</v>
      </c>
      <c r="I28">
        <v>5</v>
      </c>
      <c r="J28">
        <v>12</v>
      </c>
      <c r="K28">
        <v>2</v>
      </c>
      <c r="L28">
        <v>3</v>
      </c>
      <c r="M28">
        <v>3</v>
      </c>
      <c r="N28">
        <v>5</v>
      </c>
      <c r="O28">
        <v>13</v>
      </c>
      <c r="P28">
        <v>14</v>
      </c>
      <c r="Q28">
        <f>SUM(aids_60mais_estado[[#This Row],[2010]:[2024]])</f>
        <v>99</v>
      </c>
    </row>
    <row r="29" spans="1:17" x14ac:dyDescent="0.25">
      <c r="A29" t="s">
        <v>2</v>
      </c>
      <c r="B29">
        <v>0</v>
      </c>
      <c r="C29">
        <v>4</v>
      </c>
      <c r="D29">
        <v>2</v>
      </c>
      <c r="E29">
        <v>1</v>
      </c>
      <c r="F29">
        <v>3</v>
      </c>
      <c r="G29">
        <v>1</v>
      </c>
      <c r="H29">
        <v>5</v>
      </c>
      <c r="I29">
        <v>6</v>
      </c>
      <c r="J29">
        <v>3</v>
      </c>
      <c r="K29">
        <v>6</v>
      </c>
      <c r="L29">
        <v>3</v>
      </c>
      <c r="M29">
        <v>3</v>
      </c>
      <c r="N29">
        <v>5</v>
      </c>
      <c r="O29">
        <v>7</v>
      </c>
      <c r="P29">
        <v>8</v>
      </c>
      <c r="Q29">
        <f>SUM(aids_60mais_estado[[#This Row],[2010]:[2024]])</f>
        <v>57</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A8B98-5F43-4E33-AE2B-CD586C4A5940}">
  <dimension ref="A1:H16"/>
  <sheetViews>
    <sheetView workbookViewId="0">
      <selection sqref="A1:F16"/>
    </sheetView>
  </sheetViews>
  <sheetFormatPr defaultRowHeight="15" x14ac:dyDescent="0.25"/>
  <cols>
    <col min="1" max="1" width="17.7109375" bestFit="1" customWidth="1"/>
    <col min="2" max="2" width="14.85546875" bestFit="1" customWidth="1"/>
    <col min="3" max="3" width="18.140625" bestFit="1" customWidth="1"/>
    <col min="4" max="4" width="17" bestFit="1" customWidth="1"/>
    <col min="5" max="5" width="12.42578125" bestFit="1" customWidth="1"/>
    <col min="6" max="6" width="22" bestFit="1" customWidth="1"/>
    <col min="7" max="7" width="19.140625" bestFit="1" customWidth="1"/>
    <col min="8" max="8" width="7.7109375" bestFit="1" customWidth="1"/>
  </cols>
  <sheetData>
    <row r="1" spans="1:8" x14ac:dyDescent="0.25">
      <c r="A1" t="s">
        <v>18</v>
      </c>
      <c r="B1" t="s">
        <v>38</v>
      </c>
      <c r="C1" t="s">
        <v>39</v>
      </c>
      <c r="D1" t="s">
        <v>40</v>
      </c>
      <c r="E1" t="s">
        <v>41</v>
      </c>
      <c r="F1" t="s">
        <v>42</v>
      </c>
      <c r="G1" t="s">
        <v>43</v>
      </c>
      <c r="H1" t="s">
        <v>0</v>
      </c>
    </row>
    <row r="2" spans="1:8" x14ac:dyDescent="0.25">
      <c r="A2" t="s">
        <v>20</v>
      </c>
      <c r="B2">
        <v>92</v>
      </c>
      <c r="C2">
        <v>237</v>
      </c>
      <c r="D2">
        <v>739</v>
      </c>
      <c r="E2">
        <v>378</v>
      </c>
      <c r="F2">
        <v>84</v>
      </c>
      <c r="G2">
        <v>1</v>
      </c>
      <c r="H2">
        <v>1531</v>
      </c>
    </row>
    <row r="3" spans="1:8" x14ac:dyDescent="0.25">
      <c r="A3" t="s">
        <v>21</v>
      </c>
      <c r="B3">
        <v>113</v>
      </c>
      <c r="C3">
        <v>283</v>
      </c>
      <c r="D3">
        <v>794</v>
      </c>
      <c r="E3">
        <v>442</v>
      </c>
      <c r="F3">
        <v>111</v>
      </c>
      <c r="G3">
        <v>5</v>
      </c>
      <c r="H3">
        <v>1748</v>
      </c>
    </row>
    <row r="4" spans="1:8" x14ac:dyDescent="0.25">
      <c r="A4" t="s">
        <v>22</v>
      </c>
      <c r="B4">
        <v>112</v>
      </c>
      <c r="C4">
        <v>326</v>
      </c>
      <c r="D4">
        <v>767</v>
      </c>
      <c r="E4">
        <v>476</v>
      </c>
      <c r="F4">
        <v>119</v>
      </c>
      <c r="G4">
        <v>3</v>
      </c>
      <c r="H4">
        <v>1803</v>
      </c>
    </row>
    <row r="5" spans="1:8" x14ac:dyDescent="0.25">
      <c r="A5" t="s">
        <v>23</v>
      </c>
      <c r="B5">
        <v>148</v>
      </c>
      <c r="C5">
        <v>409</v>
      </c>
      <c r="D5">
        <v>865</v>
      </c>
      <c r="E5">
        <v>486</v>
      </c>
      <c r="F5">
        <v>140</v>
      </c>
      <c r="G5">
        <v>1</v>
      </c>
      <c r="H5">
        <v>2049</v>
      </c>
    </row>
    <row r="6" spans="1:8" x14ac:dyDescent="0.25">
      <c r="A6" t="s">
        <v>24</v>
      </c>
      <c r="B6">
        <v>178</v>
      </c>
      <c r="C6">
        <v>407</v>
      </c>
      <c r="D6">
        <v>817</v>
      </c>
      <c r="E6">
        <v>486</v>
      </c>
      <c r="F6">
        <v>146</v>
      </c>
      <c r="G6">
        <v>0</v>
      </c>
      <c r="H6">
        <v>2034</v>
      </c>
    </row>
    <row r="7" spans="1:8" x14ac:dyDescent="0.25">
      <c r="A7" t="s">
        <v>25</v>
      </c>
      <c r="B7">
        <v>167</v>
      </c>
      <c r="C7">
        <v>408</v>
      </c>
      <c r="D7">
        <v>835</v>
      </c>
      <c r="E7">
        <v>548</v>
      </c>
      <c r="F7">
        <v>122</v>
      </c>
      <c r="G7">
        <v>0</v>
      </c>
      <c r="H7">
        <v>2080</v>
      </c>
    </row>
    <row r="8" spans="1:8" x14ac:dyDescent="0.25">
      <c r="A8" t="s">
        <v>26</v>
      </c>
      <c r="B8">
        <v>196</v>
      </c>
      <c r="C8">
        <v>483</v>
      </c>
      <c r="D8">
        <v>841</v>
      </c>
      <c r="E8">
        <v>540</v>
      </c>
      <c r="F8">
        <v>150</v>
      </c>
      <c r="G8">
        <v>0</v>
      </c>
      <c r="H8">
        <v>2210</v>
      </c>
    </row>
    <row r="9" spans="1:8" x14ac:dyDescent="0.25">
      <c r="A9" t="s">
        <v>27</v>
      </c>
      <c r="B9">
        <v>196</v>
      </c>
      <c r="C9">
        <v>476</v>
      </c>
      <c r="D9">
        <v>875</v>
      </c>
      <c r="E9">
        <v>529</v>
      </c>
      <c r="F9">
        <v>200</v>
      </c>
      <c r="G9">
        <v>2</v>
      </c>
      <c r="H9">
        <v>2278</v>
      </c>
    </row>
    <row r="10" spans="1:8" x14ac:dyDescent="0.25">
      <c r="A10" t="s">
        <v>28</v>
      </c>
      <c r="B10">
        <v>235</v>
      </c>
      <c r="C10">
        <v>551</v>
      </c>
      <c r="D10">
        <v>908</v>
      </c>
      <c r="E10">
        <v>601</v>
      </c>
      <c r="F10">
        <v>154</v>
      </c>
      <c r="G10">
        <v>1</v>
      </c>
      <c r="H10">
        <v>2450</v>
      </c>
    </row>
    <row r="11" spans="1:8" x14ac:dyDescent="0.25">
      <c r="A11" t="s">
        <v>29</v>
      </c>
      <c r="B11">
        <v>191</v>
      </c>
      <c r="C11">
        <v>569</v>
      </c>
      <c r="D11">
        <v>899</v>
      </c>
      <c r="E11">
        <v>596</v>
      </c>
      <c r="F11">
        <v>186</v>
      </c>
      <c r="G11">
        <v>0</v>
      </c>
      <c r="H11">
        <v>2441</v>
      </c>
    </row>
    <row r="12" spans="1:8" x14ac:dyDescent="0.25">
      <c r="A12" t="s">
        <v>30</v>
      </c>
      <c r="B12">
        <v>162</v>
      </c>
      <c r="C12">
        <v>418</v>
      </c>
      <c r="D12">
        <v>754</v>
      </c>
      <c r="E12">
        <v>491</v>
      </c>
      <c r="F12">
        <v>129</v>
      </c>
      <c r="G12">
        <v>0</v>
      </c>
      <c r="H12">
        <v>1954</v>
      </c>
    </row>
    <row r="13" spans="1:8" x14ac:dyDescent="0.25">
      <c r="A13" t="s">
        <v>31</v>
      </c>
      <c r="B13">
        <v>234</v>
      </c>
      <c r="C13">
        <v>546</v>
      </c>
      <c r="D13">
        <v>883</v>
      </c>
      <c r="E13">
        <v>551</v>
      </c>
      <c r="F13">
        <v>185</v>
      </c>
      <c r="G13">
        <v>0</v>
      </c>
      <c r="H13">
        <v>2399</v>
      </c>
    </row>
    <row r="14" spans="1:8" x14ac:dyDescent="0.25">
      <c r="A14" t="s">
        <v>32</v>
      </c>
      <c r="B14">
        <v>263</v>
      </c>
      <c r="C14">
        <v>599</v>
      </c>
      <c r="D14">
        <v>929</v>
      </c>
      <c r="E14">
        <v>623</v>
      </c>
      <c r="F14">
        <v>189</v>
      </c>
      <c r="G14">
        <v>0</v>
      </c>
      <c r="H14">
        <v>2603</v>
      </c>
    </row>
    <row r="15" spans="1:8" x14ac:dyDescent="0.25">
      <c r="A15" t="s">
        <v>33</v>
      </c>
      <c r="B15">
        <v>320</v>
      </c>
      <c r="C15">
        <v>650</v>
      </c>
      <c r="D15">
        <v>1009</v>
      </c>
      <c r="E15">
        <v>627</v>
      </c>
      <c r="F15">
        <v>222</v>
      </c>
      <c r="G15">
        <v>0</v>
      </c>
      <c r="H15">
        <v>2828</v>
      </c>
    </row>
    <row r="16" spans="1:8" x14ac:dyDescent="0.25">
      <c r="A16" t="s">
        <v>34</v>
      </c>
      <c r="B16">
        <v>335</v>
      </c>
      <c r="C16">
        <v>716</v>
      </c>
      <c r="D16">
        <v>1027</v>
      </c>
      <c r="E16">
        <v>668</v>
      </c>
      <c r="F16">
        <v>227</v>
      </c>
      <c r="G16">
        <v>0</v>
      </c>
      <c r="H16">
        <v>2973</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1A31-5F95-43C1-9E09-0F5B3A441491}">
  <dimension ref="A1:E16"/>
  <sheetViews>
    <sheetView workbookViewId="0">
      <selection activeCell="B2" sqref="B2"/>
    </sheetView>
  </sheetViews>
  <sheetFormatPr defaultRowHeight="15" x14ac:dyDescent="0.25"/>
  <cols>
    <col min="1" max="1" width="17.7109375" bestFit="1" customWidth="1"/>
    <col min="2" max="2" width="12.42578125" bestFit="1" customWidth="1"/>
    <col min="3" max="3" width="11.7109375" bestFit="1" customWidth="1"/>
    <col min="4" max="4" width="11.140625" bestFit="1" customWidth="1"/>
    <col min="5" max="5" width="7.7109375" bestFit="1" customWidth="1"/>
  </cols>
  <sheetData>
    <row r="1" spans="1:5" x14ac:dyDescent="0.25">
      <c r="A1" t="s">
        <v>18</v>
      </c>
      <c r="B1" t="s">
        <v>35</v>
      </c>
      <c r="C1" t="s">
        <v>36</v>
      </c>
      <c r="D1" t="s">
        <v>37</v>
      </c>
      <c r="E1" t="s">
        <v>0</v>
      </c>
    </row>
    <row r="2" spans="1:5" x14ac:dyDescent="0.25">
      <c r="A2" t="s">
        <v>20</v>
      </c>
      <c r="B2">
        <v>920</v>
      </c>
      <c r="C2">
        <v>611</v>
      </c>
      <c r="D2">
        <v>0</v>
      </c>
      <c r="E2">
        <v>1531</v>
      </c>
    </row>
    <row r="3" spans="1:5" x14ac:dyDescent="0.25">
      <c r="A3" t="s">
        <v>21</v>
      </c>
      <c r="B3">
        <v>1043</v>
      </c>
      <c r="C3">
        <v>705</v>
      </c>
      <c r="D3">
        <v>0</v>
      </c>
      <c r="E3">
        <v>1748</v>
      </c>
    </row>
    <row r="4" spans="1:5" x14ac:dyDescent="0.25">
      <c r="A4" t="s">
        <v>22</v>
      </c>
      <c r="B4">
        <v>1098</v>
      </c>
      <c r="C4">
        <v>705</v>
      </c>
      <c r="D4">
        <v>0</v>
      </c>
      <c r="E4">
        <v>1803</v>
      </c>
    </row>
    <row r="5" spans="1:5" x14ac:dyDescent="0.25">
      <c r="A5" t="s">
        <v>23</v>
      </c>
      <c r="B5">
        <v>1267</v>
      </c>
      <c r="C5">
        <v>782</v>
      </c>
      <c r="D5">
        <v>0</v>
      </c>
      <c r="E5">
        <v>2049</v>
      </c>
    </row>
    <row r="6" spans="1:5" x14ac:dyDescent="0.25">
      <c r="A6" t="s">
        <v>24</v>
      </c>
      <c r="B6">
        <v>1284</v>
      </c>
      <c r="C6">
        <v>750</v>
      </c>
      <c r="D6">
        <v>0</v>
      </c>
      <c r="E6">
        <v>2034</v>
      </c>
    </row>
    <row r="7" spans="1:5" x14ac:dyDescent="0.25">
      <c r="A7" t="s">
        <v>25</v>
      </c>
      <c r="B7">
        <v>1280</v>
      </c>
      <c r="C7">
        <v>800</v>
      </c>
      <c r="D7">
        <v>0</v>
      </c>
      <c r="E7">
        <v>2080</v>
      </c>
    </row>
    <row r="8" spans="1:5" x14ac:dyDescent="0.25">
      <c r="A8" t="s">
        <v>26</v>
      </c>
      <c r="B8">
        <v>1366</v>
      </c>
      <c r="C8">
        <v>841</v>
      </c>
      <c r="D8">
        <v>3</v>
      </c>
      <c r="E8">
        <v>2210</v>
      </c>
    </row>
    <row r="9" spans="1:5" x14ac:dyDescent="0.25">
      <c r="A9" t="s">
        <v>27</v>
      </c>
      <c r="B9">
        <v>1430</v>
      </c>
      <c r="C9">
        <v>847</v>
      </c>
      <c r="D9">
        <v>1</v>
      </c>
      <c r="E9">
        <v>2278</v>
      </c>
    </row>
    <row r="10" spans="1:5" x14ac:dyDescent="0.25">
      <c r="A10" t="s">
        <v>28</v>
      </c>
      <c r="B10">
        <v>1576</v>
      </c>
      <c r="C10">
        <v>874</v>
      </c>
      <c r="D10">
        <v>0</v>
      </c>
      <c r="E10">
        <v>2450</v>
      </c>
    </row>
    <row r="11" spans="1:5" x14ac:dyDescent="0.25">
      <c r="A11" t="s">
        <v>29</v>
      </c>
      <c r="B11">
        <v>1538</v>
      </c>
      <c r="C11">
        <v>903</v>
      </c>
      <c r="D11">
        <v>0</v>
      </c>
      <c r="E11">
        <v>2441</v>
      </c>
    </row>
    <row r="12" spans="1:5" x14ac:dyDescent="0.25">
      <c r="A12" t="s">
        <v>30</v>
      </c>
      <c r="B12">
        <v>1233</v>
      </c>
      <c r="C12">
        <v>720</v>
      </c>
      <c r="D12">
        <v>1</v>
      </c>
      <c r="E12">
        <v>1954</v>
      </c>
    </row>
    <row r="13" spans="1:5" x14ac:dyDescent="0.25">
      <c r="A13" t="s">
        <v>31</v>
      </c>
      <c r="B13">
        <v>1539</v>
      </c>
      <c r="C13">
        <v>861</v>
      </c>
      <c r="D13">
        <v>0</v>
      </c>
      <c r="E13">
        <v>2400</v>
      </c>
    </row>
    <row r="14" spans="1:5" x14ac:dyDescent="0.25">
      <c r="A14" t="s">
        <v>32</v>
      </c>
      <c r="B14">
        <v>1610</v>
      </c>
      <c r="C14">
        <v>993</v>
      </c>
      <c r="D14">
        <v>0</v>
      </c>
      <c r="E14">
        <v>2603</v>
      </c>
    </row>
    <row r="15" spans="1:5" x14ac:dyDescent="0.25">
      <c r="A15" t="s">
        <v>33</v>
      </c>
      <c r="B15">
        <v>1758</v>
      </c>
      <c r="C15">
        <v>1070</v>
      </c>
      <c r="D15">
        <v>0</v>
      </c>
      <c r="E15">
        <v>2828</v>
      </c>
    </row>
    <row r="16" spans="1:5" x14ac:dyDescent="0.25">
      <c r="A16" t="s">
        <v>34</v>
      </c>
      <c r="B16">
        <v>1855</v>
      </c>
      <c r="C16">
        <v>1116</v>
      </c>
      <c r="D16">
        <v>2</v>
      </c>
      <c r="E16">
        <v>2973</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EEA9D-3AD4-4E47-BE53-FD8095FEDC7A}">
  <dimension ref="A1:B16"/>
  <sheetViews>
    <sheetView topLeftCell="A2" workbookViewId="0">
      <selection sqref="A1:B16"/>
    </sheetView>
  </sheetViews>
  <sheetFormatPr defaultRowHeight="15" x14ac:dyDescent="0.25"/>
  <cols>
    <col min="1" max="1" width="17.7109375" bestFit="1" customWidth="1"/>
    <col min="2" max="2" width="13.140625" bestFit="1" customWidth="1"/>
  </cols>
  <sheetData>
    <row r="1" spans="1:2" x14ac:dyDescent="0.25">
      <c r="A1" t="s">
        <v>18</v>
      </c>
      <c r="B1" t="s">
        <v>19</v>
      </c>
    </row>
    <row r="2" spans="1:2" x14ac:dyDescent="0.25">
      <c r="A2" t="s">
        <v>20</v>
      </c>
      <c r="B2">
        <v>1531</v>
      </c>
    </row>
    <row r="3" spans="1:2" x14ac:dyDescent="0.25">
      <c r="A3" t="s">
        <v>21</v>
      </c>
      <c r="B3">
        <v>1748</v>
      </c>
    </row>
    <row r="4" spans="1:2" x14ac:dyDescent="0.25">
      <c r="A4" t="s">
        <v>22</v>
      </c>
      <c r="B4">
        <v>1803</v>
      </c>
    </row>
    <row r="5" spans="1:2" x14ac:dyDescent="0.25">
      <c r="A5" t="s">
        <v>23</v>
      </c>
      <c r="B5">
        <v>2049</v>
      </c>
    </row>
    <row r="6" spans="1:2" x14ac:dyDescent="0.25">
      <c r="A6" t="s">
        <v>24</v>
      </c>
      <c r="B6">
        <v>2034</v>
      </c>
    </row>
    <row r="7" spans="1:2" x14ac:dyDescent="0.25">
      <c r="A7" t="s">
        <v>25</v>
      </c>
      <c r="B7">
        <v>2080</v>
      </c>
    </row>
    <row r="8" spans="1:2" x14ac:dyDescent="0.25">
      <c r="A8" t="s">
        <v>26</v>
      </c>
      <c r="B8">
        <v>2210</v>
      </c>
    </row>
    <row r="9" spans="1:2" x14ac:dyDescent="0.25">
      <c r="A9" t="s">
        <v>27</v>
      </c>
      <c r="B9">
        <v>2278</v>
      </c>
    </row>
    <row r="10" spans="1:2" x14ac:dyDescent="0.25">
      <c r="A10" t="s">
        <v>28</v>
      </c>
      <c r="B10">
        <v>2450</v>
      </c>
    </row>
    <row r="11" spans="1:2" x14ac:dyDescent="0.25">
      <c r="A11" t="s">
        <v>29</v>
      </c>
      <c r="B11">
        <v>2441</v>
      </c>
    </row>
    <row r="12" spans="1:2" x14ac:dyDescent="0.25">
      <c r="A12" t="s">
        <v>30</v>
      </c>
      <c r="B12">
        <v>1954</v>
      </c>
    </row>
    <row r="13" spans="1:2" x14ac:dyDescent="0.25">
      <c r="A13" t="s">
        <v>31</v>
      </c>
      <c r="B13">
        <v>2400</v>
      </c>
    </row>
    <row r="14" spans="1:2" x14ac:dyDescent="0.25">
      <c r="A14" t="s">
        <v>32</v>
      </c>
      <c r="B14">
        <v>2603</v>
      </c>
    </row>
    <row r="15" spans="1:2" x14ac:dyDescent="0.25">
      <c r="A15" t="s">
        <v>33</v>
      </c>
      <c r="B15">
        <v>2828</v>
      </c>
    </row>
    <row r="16" spans="1:2" x14ac:dyDescent="0.25">
      <c r="A16" t="s">
        <v>34</v>
      </c>
      <c r="B16">
        <v>2973</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8CA8-D4FD-4346-AA4B-73161A217206}">
  <dimension ref="A1:BL115"/>
  <sheetViews>
    <sheetView workbookViewId="0">
      <selection activeCell="AH22" sqref="AH22"/>
    </sheetView>
  </sheetViews>
  <sheetFormatPr defaultColWidth="8.85546875" defaultRowHeight="15" x14ac:dyDescent="0.25"/>
  <cols>
    <col min="1" max="1" width="19.42578125" style="1" bestFit="1" customWidth="1"/>
    <col min="2" max="2" width="14.28515625" style="1" bestFit="1" customWidth="1"/>
    <col min="3" max="32" width="0" style="1" hidden="1" customWidth="1"/>
    <col min="33" max="33" width="14.28515625" style="7" hidden="1" customWidth="1"/>
    <col min="34" max="16384" width="8.85546875" style="1"/>
  </cols>
  <sheetData>
    <row r="1" spans="1:64" x14ac:dyDescent="0.25">
      <c r="A1" s="22" t="s">
        <v>100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row>
    <row r="2" spans="1:64" x14ac:dyDescent="0.25">
      <c r="A2" s="22" t="s">
        <v>99</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row>
    <row r="3" spans="1:64" x14ac:dyDescent="0.25">
      <c r="A3" s="22" t="s">
        <v>98</v>
      </c>
      <c r="B3" s="22" t="s">
        <v>97</v>
      </c>
      <c r="C3" s="22" t="s">
        <v>96</v>
      </c>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row>
    <row r="4" spans="1:64" x14ac:dyDescent="0.25">
      <c r="A4" s="22"/>
      <c r="B4" s="22"/>
      <c r="C4" s="22" t="s">
        <v>28</v>
      </c>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x14ac:dyDescent="0.25">
      <c r="A5" s="22"/>
      <c r="B5" s="22"/>
      <c r="C5" s="22" t="s">
        <v>95</v>
      </c>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t="s">
        <v>94</v>
      </c>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x14ac:dyDescent="0.25">
      <c r="A6" s="22"/>
      <c r="B6" s="22"/>
      <c r="C6" s="1" t="s">
        <v>93</v>
      </c>
      <c r="D6" s="1" t="s">
        <v>92</v>
      </c>
      <c r="E6" s="1" t="s">
        <v>91</v>
      </c>
      <c r="F6" s="1" t="s">
        <v>90</v>
      </c>
      <c r="G6" s="1" t="s">
        <v>89</v>
      </c>
      <c r="H6" s="1" t="s">
        <v>88</v>
      </c>
      <c r="I6" s="1" t="s">
        <v>87</v>
      </c>
      <c r="J6" s="1" t="s">
        <v>86</v>
      </c>
      <c r="K6" s="1" t="s">
        <v>85</v>
      </c>
      <c r="L6" s="1" t="s">
        <v>84</v>
      </c>
      <c r="M6" s="1" t="s">
        <v>83</v>
      </c>
      <c r="N6" s="1" t="s">
        <v>82</v>
      </c>
      <c r="O6" s="1" t="s">
        <v>81</v>
      </c>
      <c r="P6" s="1" t="s">
        <v>80</v>
      </c>
      <c r="Q6" s="1" t="s">
        <v>79</v>
      </c>
      <c r="R6" s="1" t="s">
        <v>78</v>
      </c>
      <c r="S6" s="1" t="s">
        <v>77</v>
      </c>
      <c r="T6" s="1" t="s">
        <v>76</v>
      </c>
      <c r="U6" s="1" t="s">
        <v>75</v>
      </c>
      <c r="V6" s="1" t="s">
        <v>74</v>
      </c>
      <c r="W6" s="1" t="s">
        <v>73</v>
      </c>
      <c r="X6" s="1" t="s">
        <v>72</v>
      </c>
      <c r="Y6" s="1" t="s">
        <v>71</v>
      </c>
      <c r="Z6" s="1" t="s">
        <v>70</v>
      </c>
      <c r="AA6" s="1" t="s">
        <v>69</v>
      </c>
      <c r="AB6" s="1" t="s">
        <v>68</v>
      </c>
      <c r="AC6" s="1" t="s">
        <v>67</v>
      </c>
      <c r="AD6" s="1" t="s">
        <v>66</v>
      </c>
      <c r="AE6" s="1" t="s">
        <v>65</v>
      </c>
      <c r="AF6" s="1" t="s">
        <v>64</v>
      </c>
      <c r="AG6" s="7" t="s">
        <v>63</v>
      </c>
      <c r="AH6" s="1" t="s">
        <v>93</v>
      </c>
      <c r="AI6" s="1" t="s">
        <v>92</v>
      </c>
      <c r="AJ6" s="1" t="s">
        <v>91</v>
      </c>
      <c r="AK6" s="1" t="s">
        <v>90</v>
      </c>
      <c r="AL6" s="1" t="s">
        <v>89</v>
      </c>
      <c r="AM6" s="1" t="s">
        <v>88</v>
      </c>
      <c r="AN6" s="1" t="s">
        <v>87</v>
      </c>
      <c r="AO6" s="1" t="s">
        <v>86</v>
      </c>
      <c r="AP6" s="1" t="s">
        <v>85</v>
      </c>
      <c r="AQ6" s="1" t="s">
        <v>84</v>
      </c>
      <c r="AR6" s="1" t="s">
        <v>83</v>
      </c>
      <c r="AS6" s="1" t="s">
        <v>82</v>
      </c>
      <c r="AT6" s="1" t="s">
        <v>81</v>
      </c>
      <c r="AU6" s="1" t="s">
        <v>80</v>
      </c>
      <c r="AV6" s="1" t="s">
        <v>79</v>
      </c>
      <c r="AW6" s="1" t="s">
        <v>78</v>
      </c>
      <c r="AX6" s="1" t="s">
        <v>77</v>
      </c>
      <c r="AY6" s="1" t="s">
        <v>76</v>
      </c>
      <c r="AZ6" s="1" t="s">
        <v>75</v>
      </c>
      <c r="BA6" s="1" t="s">
        <v>74</v>
      </c>
      <c r="BB6" s="1" t="s">
        <v>73</v>
      </c>
      <c r="BC6" s="1" t="s">
        <v>72</v>
      </c>
      <c r="BD6" s="1" t="s">
        <v>71</v>
      </c>
      <c r="BE6" s="1" t="s">
        <v>70</v>
      </c>
      <c r="BF6" s="1" t="s">
        <v>69</v>
      </c>
      <c r="BG6" s="1" t="s">
        <v>68</v>
      </c>
      <c r="BH6" s="1" t="s">
        <v>67</v>
      </c>
      <c r="BI6" s="1" t="s">
        <v>66</v>
      </c>
      <c r="BJ6" s="1" t="s">
        <v>65</v>
      </c>
      <c r="BK6" s="1" t="s">
        <v>64</v>
      </c>
      <c r="BL6" s="1" t="s">
        <v>63</v>
      </c>
    </row>
    <row r="7" spans="1:64" x14ac:dyDescent="0.25">
      <c r="A7" s="23" t="s">
        <v>62</v>
      </c>
      <c r="B7" s="1" t="s">
        <v>20</v>
      </c>
      <c r="C7" s="1">
        <v>684784</v>
      </c>
      <c r="D7" s="1">
        <v>651585</v>
      </c>
      <c r="E7" s="1">
        <v>617610</v>
      </c>
      <c r="F7" s="1">
        <v>582021</v>
      </c>
      <c r="G7" s="1">
        <v>545961</v>
      </c>
      <c r="H7" s="1">
        <v>510943</v>
      </c>
      <c r="I7" s="1">
        <v>476122</v>
      </c>
      <c r="J7" s="1">
        <v>445469</v>
      </c>
      <c r="K7" s="1">
        <v>420954</v>
      </c>
      <c r="L7" s="1">
        <v>400510</v>
      </c>
      <c r="M7" s="1">
        <v>380401</v>
      </c>
      <c r="N7" s="1">
        <v>361702</v>
      </c>
      <c r="O7" s="1">
        <v>341081</v>
      </c>
      <c r="P7" s="1">
        <v>316605</v>
      </c>
      <c r="Q7" s="1">
        <v>290029</v>
      </c>
      <c r="R7" s="1">
        <v>264908</v>
      </c>
      <c r="S7" s="1">
        <v>240351</v>
      </c>
      <c r="T7" s="1">
        <v>218060</v>
      </c>
      <c r="U7" s="1">
        <v>199182</v>
      </c>
      <c r="V7" s="1">
        <v>182705</v>
      </c>
      <c r="W7" s="1">
        <v>166327</v>
      </c>
      <c r="X7" s="1">
        <v>150333</v>
      </c>
      <c r="Y7" s="1">
        <v>135007</v>
      </c>
      <c r="Z7" s="1">
        <v>120199</v>
      </c>
      <c r="AA7" s="1">
        <v>105762</v>
      </c>
      <c r="AB7" s="1">
        <v>91548</v>
      </c>
      <c r="AC7" s="1">
        <v>77412</v>
      </c>
      <c r="AD7" s="1">
        <v>63209</v>
      </c>
      <c r="AE7" s="1">
        <v>48783</v>
      </c>
      <c r="AF7" s="1">
        <v>33992</v>
      </c>
      <c r="AG7" s="7">
        <v>155814</v>
      </c>
      <c r="AH7" s="1">
        <v>775412</v>
      </c>
      <c r="AI7" s="1">
        <v>740045</v>
      </c>
      <c r="AJ7" s="1">
        <v>703981</v>
      </c>
      <c r="AK7" s="1">
        <v>666522</v>
      </c>
      <c r="AL7" s="1">
        <v>628820</v>
      </c>
      <c r="AM7" s="1">
        <v>592109</v>
      </c>
      <c r="AN7" s="1">
        <v>555425</v>
      </c>
      <c r="AO7" s="1">
        <v>523859</v>
      </c>
      <c r="AP7" s="1">
        <v>499841</v>
      </c>
      <c r="AQ7" s="1">
        <v>480756</v>
      </c>
      <c r="AR7" s="1">
        <v>461864</v>
      </c>
      <c r="AS7" s="1">
        <v>444472</v>
      </c>
      <c r="AT7" s="1">
        <v>424512</v>
      </c>
      <c r="AU7" s="1">
        <v>399586</v>
      </c>
      <c r="AV7" s="1">
        <v>371790</v>
      </c>
      <c r="AW7" s="1">
        <v>345378</v>
      </c>
      <c r="AX7" s="1">
        <v>319231</v>
      </c>
      <c r="AY7" s="1">
        <v>295403</v>
      </c>
      <c r="AZ7" s="1">
        <v>275263</v>
      </c>
      <c r="BA7" s="1">
        <v>257509</v>
      </c>
      <c r="BB7" s="1">
        <v>239258</v>
      </c>
      <c r="BC7" s="1">
        <v>220819</v>
      </c>
      <c r="BD7" s="1">
        <v>202484</v>
      </c>
      <c r="BE7" s="1">
        <v>184031</v>
      </c>
      <c r="BF7" s="1">
        <v>165224</v>
      </c>
      <c r="BG7" s="1">
        <v>145834</v>
      </c>
      <c r="BH7" s="1">
        <v>125634</v>
      </c>
      <c r="BI7" s="1">
        <v>104386</v>
      </c>
      <c r="BJ7" s="1">
        <v>81874</v>
      </c>
      <c r="BK7" s="1">
        <v>57857</v>
      </c>
      <c r="BL7" s="1">
        <v>299377</v>
      </c>
    </row>
    <row r="8" spans="1:64" x14ac:dyDescent="0.25">
      <c r="A8" s="23"/>
      <c r="B8" s="1" t="s">
        <v>21</v>
      </c>
      <c r="C8" s="1">
        <v>707938</v>
      </c>
      <c r="D8" s="1">
        <v>672582</v>
      </c>
      <c r="E8" s="1">
        <v>639959</v>
      </c>
      <c r="F8" s="1">
        <v>606587</v>
      </c>
      <c r="G8" s="1">
        <v>571626</v>
      </c>
      <c r="H8" s="1">
        <v>534009</v>
      </c>
      <c r="I8" s="1">
        <v>497605</v>
      </c>
      <c r="J8" s="1">
        <v>463693</v>
      </c>
      <c r="K8" s="1">
        <v>433840</v>
      </c>
      <c r="L8" s="1">
        <v>409961</v>
      </c>
      <c r="M8" s="1">
        <v>387498</v>
      </c>
      <c r="N8" s="1">
        <v>365526</v>
      </c>
      <c r="O8" s="1">
        <v>347558</v>
      </c>
      <c r="P8" s="1">
        <v>327749</v>
      </c>
      <c r="Q8" s="1">
        <v>304232</v>
      </c>
      <c r="R8" s="1">
        <v>275905</v>
      </c>
      <c r="S8" s="1">
        <v>249316</v>
      </c>
      <c r="T8" s="1">
        <v>226208</v>
      </c>
      <c r="U8" s="1">
        <v>205231</v>
      </c>
      <c r="V8" s="1">
        <v>187461</v>
      </c>
      <c r="W8" s="1">
        <v>169576</v>
      </c>
      <c r="X8" s="1">
        <v>152038</v>
      </c>
      <c r="Y8" s="1">
        <v>137418</v>
      </c>
      <c r="Z8" s="1">
        <v>123398</v>
      </c>
      <c r="AA8" s="1">
        <v>109850</v>
      </c>
      <c r="AB8" s="1">
        <v>94681</v>
      </c>
      <c r="AC8" s="1">
        <v>80047</v>
      </c>
      <c r="AD8" s="1">
        <v>67673</v>
      </c>
      <c r="AE8" s="1">
        <v>55256</v>
      </c>
      <c r="AF8" s="1">
        <v>42649</v>
      </c>
      <c r="AG8" s="7">
        <v>155891</v>
      </c>
      <c r="AH8" s="1">
        <v>804620</v>
      </c>
      <c r="AI8" s="1">
        <v>767292</v>
      </c>
      <c r="AJ8" s="1">
        <v>732303</v>
      </c>
      <c r="AK8" s="1">
        <v>696614</v>
      </c>
      <c r="AL8" s="1">
        <v>659537</v>
      </c>
      <c r="AM8" s="1">
        <v>620449</v>
      </c>
      <c r="AN8" s="1">
        <v>582497</v>
      </c>
      <c r="AO8" s="1">
        <v>546402</v>
      </c>
      <c r="AP8" s="1">
        <v>515341</v>
      </c>
      <c r="AQ8" s="1">
        <v>491719</v>
      </c>
      <c r="AR8" s="1">
        <v>470722</v>
      </c>
      <c r="AS8" s="1">
        <v>450015</v>
      </c>
      <c r="AT8" s="1">
        <v>433076</v>
      </c>
      <c r="AU8" s="1">
        <v>413630</v>
      </c>
      <c r="AV8" s="1">
        <v>389346</v>
      </c>
      <c r="AW8" s="1">
        <v>359538</v>
      </c>
      <c r="AX8" s="1">
        <v>331343</v>
      </c>
      <c r="AY8" s="1">
        <v>306274</v>
      </c>
      <c r="AZ8" s="1">
        <v>283420</v>
      </c>
      <c r="BA8" s="1">
        <v>264102</v>
      </c>
      <c r="BB8" s="1">
        <v>243919</v>
      </c>
      <c r="BC8" s="1">
        <v>223506</v>
      </c>
      <c r="BD8" s="1">
        <v>206284</v>
      </c>
      <c r="BE8" s="1">
        <v>189159</v>
      </c>
      <c r="BF8" s="1">
        <v>171915</v>
      </c>
      <c r="BG8" s="1">
        <v>151275</v>
      </c>
      <c r="BH8" s="1">
        <v>130554</v>
      </c>
      <c r="BI8" s="1">
        <v>112473</v>
      </c>
      <c r="BJ8" s="1">
        <v>93451</v>
      </c>
      <c r="BK8" s="1">
        <v>73301</v>
      </c>
      <c r="BL8" s="1">
        <v>303275</v>
      </c>
    </row>
    <row r="9" spans="1:64" x14ac:dyDescent="0.25">
      <c r="A9" s="23"/>
      <c r="B9" s="1" t="s">
        <v>22</v>
      </c>
      <c r="C9" s="1">
        <v>732605</v>
      </c>
      <c r="D9" s="1">
        <v>695570</v>
      </c>
      <c r="E9" s="1">
        <v>660831</v>
      </c>
      <c r="F9" s="1">
        <v>628763</v>
      </c>
      <c r="G9" s="1">
        <v>595968</v>
      </c>
      <c r="H9" s="1">
        <v>559354</v>
      </c>
      <c r="I9" s="1">
        <v>520341</v>
      </c>
      <c r="J9" s="1">
        <v>484869</v>
      </c>
      <c r="K9" s="1">
        <v>451815</v>
      </c>
      <c r="L9" s="1">
        <v>422729</v>
      </c>
      <c r="M9" s="1">
        <v>396876</v>
      </c>
      <c r="N9" s="1">
        <v>372596</v>
      </c>
      <c r="O9" s="1">
        <v>351473</v>
      </c>
      <c r="P9" s="1">
        <v>334201</v>
      </c>
      <c r="Q9" s="1">
        <v>315157</v>
      </c>
      <c r="R9" s="1">
        <v>289655</v>
      </c>
      <c r="S9" s="1">
        <v>259925</v>
      </c>
      <c r="T9" s="1">
        <v>234877</v>
      </c>
      <c r="U9" s="1">
        <v>213111</v>
      </c>
      <c r="V9" s="1">
        <v>193354</v>
      </c>
      <c r="W9" s="1">
        <v>174186</v>
      </c>
      <c r="X9" s="1">
        <v>155228</v>
      </c>
      <c r="Y9" s="1">
        <v>139171</v>
      </c>
      <c r="Z9" s="1">
        <v>125781</v>
      </c>
      <c r="AA9" s="1">
        <v>112938</v>
      </c>
      <c r="AB9" s="1">
        <v>98501</v>
      </c>
      <c r="AC9" s="1">
        <v>82955</v>
      </c>
      <c r="AD9" s="1">
        <v>70124</v>
      </c>
      <c r="AE9" s="1">
        <v>59271</v>
      </c>
      <c r="AF9" s="1">
        <v>48396</v>
      </c>
      <c r="AG9" s="7">
        <v>163643</v>
      </c>
      <c r="AH9" s="1">
        <v>835191</v>
      </c>
      <c r="AI9" s="1">
        <v>796372</v>
      </c>
      <c r="AJ9" s="1">
        <v>759433</v>
      </c>
      <c r="AK9" s="1">
        <v>724798</v>
      </c>
      <c r="AL9" s="1">
        <v>689473</v>
      </c>
      <c r="AM9" s="1">
        <v>650945</v>
      </c>
      <c r="AN9" s="1">
        <v>610585</v>
      </c>
      <c r="AO9" s="1">
        <v>573230</v>
      </c>
      <c r="AP9" s="1">
        <v>537710</v>
      </c>
      <c r="AQ9" s="1">
        <v>507135</v>
      </c>
      <c r="AR9" s="1">
        <v>481653</v>
      </c>
      <c r="AS9" s="1">
        <v>458879</v>
      </c>
      <c r="AT9" s="1">
        <v>438701</v>
      </c>
      <c r="AU9" s="1">
        <v>422189</v>
      </c>
      <c r="AV9" s="1">
        <v>403230</v>
      </c>
      <c r="AW9" s="1">
        <v>376748</v>
      </c>
      <c r="AX9" s="1">
        <v>345198</v>
      </c>
      <c r="AY9" s="1">
        <v>318142</v>
      </c>
      <c r="AZ9" s="1">
        <v>294079</v>
      </c>
      <c r="BA9" s="1">
        <v>272148</v>
      </c>
      <c r="BB9" s="1">
        <v>250425</v>
      </c>
      <c r="BC9" s="1">
        <v>228173</v>
      </c>
      <c r="BD9" s="1">
        <v>209076</v>
      </c>
      <c r="BE9" s="1">
        <v>192970</v>
      </c>
      <c r="BF9" s="1">
        <v>176950</v>
      </c>
      <c r="BG9" s="1">
        <v>157679</v>
      </c>
      <c r="BH9" s="1">
        <v>135737</v>
      </c>
      <c r="BI9" s="1">
        <v>117140</v>
      </c>
      <c r="BJ9" s="1">
        <v>100918</v>
      </c>
      <c r="BK9" s="1">
        <v>83849</v>
      </c>
      <c r="BL9" s="1">
        <v>320960</v>
      </c>
    </row>
    <row r="10" spans="1:64" x14ac:dyDescent="0.25">
      <c r="A10" s="23"/>
      <c r="B10" s="1" t="s">
        <v>23</v>
      </c>
      <c r="C10" s="1">
        <v>758086</v>
      </c>
      <c r="D10" s="1">
        <v>720059</v>
      </c>
      <c r="E10" s="1">
        <v>683657</v>
      </c>
      <c r="F10" s="1">
        <v>649497</v>
      </c>
      <c r="G10" s="1">
        <v>617978</v>
      </c>
      <c r="H10" s="1">
        <v>583416</v>
      </c>
      <c r="I10" s="1">
        <v>545309</v>
      </c>
      <c r="J10" s="1">
        <v>507269</v>
      </c>
      <c r="K10" s="1">
        <v>472691</v>
      </c>
      <c r="L10" s="1">
        <v>440455</v>
      </c>
      <c r="M10" s="1">
        <v>409469</v>
      </c>
      <c r="N10" s="1">
        <v>381866</v>
      </c>
      <c r="O10" s="1">
        <v>358504</v>
      </c>
      <c r="P10" s="1">
        <v>338179</v>
      </c>
      <c r="Q10" s="1">
        <v>321575</v>
      </c>
      <c r="R10" s="1">
        <v>300294</v>
      </c>
      <c r="S10" s="1">
        <v>273137</v>
      </c>
      <c r="T10" s="1">
        <v>245108</v>
      </c>
      <c r="U10" s="1">
        <v>221487</v>
      </c>
      <c r="V10" s="1">
        <v>200972</v>
      </c>
      <c r="W10" s="1">
        <v>179866</v>
      </c>
      <c r="X10" s="1">
        <v>159654</v>
      </c>
      <c r="Y10" s="1">
        <v>142276</v>
      </c>
      <c r="Z10" s="1">
        <v>127558</v>
      </c>
      <c r="AA10" s="1">
        <v>115277</v>
      </c>
      <c r="AB10" s="1">
        <v>101433</v>
      </c>
      <c r="AC10" s="1">
        <v>86474</v>
      </c>
      <c r="AD10" s="1">
        <v>72812</v>
      </c>
      <c r="AE10" s="1">
        <v>61540</v>
      </c>
      <c r="AF10" s="1">
        <v>52009</v>
      </c>
      <c r="AG10" s="7">
        <v>175211</v>
      </c>
      <c r="AH10" s="1">
        <v>866117</v>
      </c>
      <c r="AI10" s="1">
        <v>826807</v>
      </c>
      <c r="AJ10" s="1">
        <v>788382</v>
      </c>
      <c r="AK10" s="1">
        <v>751810</v>
      </c>
      <c r="AL10" s="1">
        <v>717519</v>
      </c>
      <c r="AM10" s="1">
        <v>680674</v>
      </c>
      <c r="AN10" s="1">
        <v>640808</v>
      </c>
      <c r="AO10" s="1">
        <v>601067</v>
      </c>
      <c r="AP10" s="1">
        <v>564296</v>
      </c>
      <c r="AQ10" s="1">
        <v>529328</v>
      </c>
      <c r="AR10" s="1">
        <v>496952</v>
      </c>
      <c r="AS10" s="1">
        <v>469764</v>
      </c>
      <c r="AT10" s="1">
        <v>447557</v>
      </c>
      <c r="AU10" s="1">
        <v>427877</v>
      </c>
      <c r="AV10" s="1">
        <v>411776</v>
      </c>
      <c r="AW10" s="1">
        <v>390418</v>
      </c>
      <c r="AX10" s="1">
        <v>361991</v>
      </c>
      <c r="AY10" s="1">
        <v>331689</v>
      </c>
      <c r="AZ10" s="1">
        <v>305698</v>
      </c>
      <c r="BA10" s="1">
        <v>282590</v>
      </c>
      <c r="BB10" s="1">
        <v>258314</v>
      </c>
      <c r="BC10" s="1">
        <v>234561</v>
      </c>
      <c r="BD10" s="1">
        <v>213721</v>
      </c>
      <c r="BE10" s="1">
        <v>195838</v>
      </c>
      <c r="BF10" s="1">
        <v>180752</v>
      </c>
      <c r="BG10" s="1">
        <v>162570</v>
      </c>
      <c r="BH10" s="1">
        <v>141790</v>
      </c>
      <c r="BI10" s="1">
        <v>122058</v>
      </c>
      <c r="BJ10" s="1">
        <v>105333</v>
      </c>
      <c r="BK10" s="1">
        <v>90744</v>
      </c>
      <c r="BL10" s="1">
        <v>346041</v>
      </c>
    </row>
    <row r="11" spans="1:64" x14ac:dyDescent="0.25">
      <c r="A11" s="23"/>
      <c r="B11" s="1" t="s">
        <v>24</v>
      </c>
      <c r="C11" s="1">
        <v>784923</v>
      </c>
      <c r="D11" s="1">
        <v>745357</v>
      </c>
      <c r="E11" s="1">
        <v>707953</v>
      </c>
      <c r="F11" s="1">
        <v>672163</v>
      </c>
      <c r="G11" s="1">
        <v>638567</v>
      </c>
      <c r="H11" s="1">
        <v>605206</v>
      </c>
      <c r="I11" s="1">
        <v>569041</v>
      </c>
      <c r="J11" s="1">
        <v>531868</v>
      </c>
      <c r="K11" s="1">
        <v>494757</v>
      </c>
      <c r="L11" s="1">
        <v>461035</v>
      </c>
      <c r="M11" s="1">
        <v>426873</v>
      </c>
      <c r="N11" s="1">
        <v>394229</v>
      </c>
      <c r="O11" s="1">
        <v>367651</v>
      </c>
      <c r="P11" s="1">
        <v>345167</v>
      </c>
      <c r="Q11" s="1">
        <v>325598</v>
      </c>
      <c r="R11" s="1">
        <v>306643</v>
      </c>
      <c r="S11" s="1">
        <v>283427</v>
      </c>
      <c r="T11" s="1">
        <v>257798</v>
      </c>
      <c r="U11" s="1">
        <v>231351</v>
      </c>
      <c r="V11" s="1">
        <v>209054</v>
      </c>
      <c r="W11" s="1">
        <v>187152</v>
      </c>
      <c r="X11" s="1">
        <v>165066</v>
      </c>
      <c r="Y11" s="1">
        <v>146525</v>
      </c>
      <c r="Z11" s="1">
        <v>130566</v>
      </c>
      <c r="AA11" s="1">
        <v>117060</v>
      </c>
      <c r="AB11" s="1">
        <v>103695</v>
      </c>
      <c r="AC11" s="1">
        <v>89214</v>
      </c>
      <c r="AD11" s="1">
        <v>76042</v>
      </c>
      <c r="AE11" s="1">
        <v>64020</v>
      </c>
      <c r="AF11" s="1">
        <v>54105</v>
      </c>
      <c r="AG11" s="7">
        <v>188114</v>
      </c>
      <c r="AH11" s="1">
        <v>897662</v>
      </c>
      <c r="AI11" s="1">
        <v>857594</v>
      </c>
      <c r="AJ11" s="1">
        <v>818675</v>
      </c>
      <c r="AK11" s="1">
        <v>780628</v>
      </c>
      <c r="AL11" s="1">
        <v>744414</v>
      </c>
      <c r="AM11" s="1">
        <v>708539</v>
      </c>
      <c r="AN11" s="1">
        <v>670284</v>
      </c>
      <c r="AO11" s="1">
        <v>631020</v>
      </c>
      <c r="AP11" s="1">
        <v>591885</v>
      </c>
      <c r="AQ11" s="1">
        <v>555669</v>
      </c>
      <c r="AR11" s="1">
        <v>518907</v>
      </c>
      <c r="AS11" s="1">
        <v>484909</v>
      </c>
      <c r="AT11" s="1">
        <v>458381</v>
      </c>
      <c r="AU11" s="1">
        <v>436717</v>
      </c>
      <c r="AV11" s="1">
        <v>417515</v>
      </c>
      <c r="AW11" s="1">
        <v>398928</v>
      </c>
      <c r="AX11" s="1">
        <v>375400</v>
      </c>
      <c r="AY11" s="1">
        <v>348068</v>
      </c>
      <c r="AZ11" s="1">
        <v>318944</v>
      </c>
      <c r="BA11" s="1">
        <v>293963</v>
      </c>
      <c r="BB11" s="1">
        <v>268473</v>
      </c>
      <c r="BC11" s="1">
        <v>242249</v>
      </c>
      <c r="BD11" s="1">
        <v>219974</v>
      </c>
      <c r="BE11" s="1">
        <v>200435</v>
      </c>
      <c r="BF11" s="1">
        <v>183666</v>
      </c>
      <c r="BG11" s="1">
        <v>166332</v>
      </c>
      <c r="BH11" s="1">
        <v>146486</v>
      </c>
      <c r="BI11" s="1">
        <v>127765</v>
      </c>
      <c r="BJ11" s="1">
        <v>109986</v>
      </c>
      <c r="BK11" s="1">
        <v>94909</v>
      </c>
      <c r="BL11" s="1">
        <v>374235</v>
      </c>
    </row>
    <row r="12" spans="1:64" x14ac:dyDescent="0.25">
      <c r="A12" s="23"/>
      <c r="B12" s="1" t="s">
        <v>25</v>
      </c>
      <c r="C12" s="1">
        <v>812330</v>
      </c>
      <c r="D12" s="1">
        <v>771978</v>
      </c>
      <c r="E12" s="1">
        <v>733069</v>
      </c>
      <c r="F12" s="1">
        <v>696268</v>
      </c>
      <c r="G12" s="1">
        <v>661068</v>
      </c>
      <c r="H12" s="1">
        <v>625613</v>
      </c>
      <c r="I12" s="1">
        <v>590571</v>
      </c>
      <c r="J12" s="1">
        <v>555266</v>
      </c>
      <c r="K12" s="1">
        <v>518988</v>
      </c>
      <c r="L12" s="1">
        <v>482772</v>
      </c>
      <c r="M12" s="1">
        <v>447066</v>
      </c>
      <c r="N12" s="1">
        <v>411237</v>
      </c>
      <c r="O12" s="1">
        <v>379787</v>
      </c>
      <c r="P12" s="1">
        <v>354177</v>
      </c>
      <c r="Q12" s="1">
        <v>332528</v>
      </c>
      <c r="R12" s="1">
        <v>310704</v>
      </c>
      <c r="S12" s="1">
        <v>289675</v>
      </c>
      <c r="T12" s="1">
        <v>267745</v>
      </c>
      <c r="U12" s="1">
        <v>243536</v>
      </c>
      <c r="V12" s="1">
        <v>218556</v>
      </c>
      <c r="W12" s="1">
        <v>194871</v>
      </c>
      <c r="X12" s="1">
        <v>171951</v>
      </c>
      <c r="Y12" s="1">
        <v>151666</v>
      </c>
      <c r="Z12" s="1">
        <v>134638</v>
      </c>
      <c r="AA12" s="1">
        <v>119968</v>
      </c>
      <c r="AB12" s="1">
        <v>105454</v>
      </c>
      <c r="AC12" s="1">
        <v>91365</v>
      </c>
      <c r="AD12" s="1">
        <v>78591</v>
      </c>
      <c r="AE12" s="1">
        <v>66985</v>
      </c>
      <c r="AF12" s="1">
        <v>56392</v>
      </c>
      <c r="AG12" s="7">
        <v>200858</v>
      </c>
      <c r="AH12" s="1">
        <v>929313</v>
      </c>
      <c r="AI12" s="1">
        <v>889009</v>
      </c>
      <c r="AJ12" s="1">
        <v>849317</v>
      </c>
      <c r="AK12" s="1">
        <v>810779</v>
      </c>
      <c r="AL12" s="1">
        <v>773099</v>
      </c>
      <c r="AM12" s="1">
        <v>735277</v>
      </c>
      <c r="AN12" s="1">
        <v>697927</v>
      </c>
      <c r="AO12" s="1">
        <v>660244</v>
      </c>
      <c r="AP12" s="1">
        <v>621564</v>
      </c>
      <c r="AQ12" s="1">
        <v>583018</v>
      </c>
      <c r="AR12" s="1">
        <v>544933</v>
      </c>
      <c r="AS12" s="1">
        <v>506565</v>
      </c>
      <c r="AT12" s="1">
        <v>473368</v>
      </c>
      <c r="AU12" s="1">
        <v>447477</v>
      </c>
      <c r="AV12" s="1">
        <v>426327</v>
      </c>
      <c r="AW12" s="1">
        <v>404721</v>
      </c>
      <c r="AX12" s="1">
        <v>383843</v>
      </c>
      <c r="AY12" s="1">
        <v>361212</v>
      </c>
      <c r="AZ12" s="1">
        <v>334919</v>
      </c>
      <c r="BA12" s="1">
        <v>306907</v>
      </c>
      <c r="BB12" s="1">
        <v>279525</v>
      </c>
      <c r="BC12" s="1">
        <v>252057</v>
      </c>
      <c r="BD12" s="1">
        <v>227451</v>
      </c>
      <c r="BE12" s="1">
        <v>206545</v>
      </c>
      <c r="BF12" s="1">
        <v>188199</v>
      </c>
      <c r="BG12" s="1">
        <v>169275</v>
      </c>
      <c r="BH12" s="1">
        <v>150171</v>
      </c>
      <c r="BI12" s="1">
        <v>132256</v>
      </c>
      <c r="BJ12" s="1">
        <v>115354</v>
      </c>
      <c r="BK12" s="1">
        <v>99305</v>
      </c>
      <c r="BL12" s="1">
        <v>402722</v>
      </c>
    </row>
    <row r="13" spans="1:64" x14ac:dyDescent="0.25">
      <c r="A13" s="23"/>
      <c r="B13" s="1" t="s">
        <v>26</v>
      </c>
      <c r="C13" s="1">
        <v>840362</v>
      </c>
      <c r="D13" s="1">
        <v>799176</v>
      </c>
      <c r="E13" s="1">
        <v>759472</v>
      </c>
      <c r="F13" s="1">
        <v>721191</v>
      </c>
      <c r="G13" s="1">
        <v>684985</v>
      </c>
      <c r="H13" s="1">
        <v>647900</v>
      </c>
      <c r="I13" s="1">
        <v>610748</v>
      </c>
      <c r="J13" s="1">
        <v>576536</v>
      </c>
      <c r="K13" s="1">
        <v>542061</v>
      </c>
      <c r="L13" s="1">
        <v>506638</v>
      </c>
      <c r="M13" s="1">
        <v>468383</v>
      </c>
      <c r="N13" s="1">
        <v>430951</v>
      </c>
      <c r="O13" s="1">
        <v>396405</v>
      </c>
      <c r="P13" s="1">
        <v>366088</v>
      </c>
      <c r="Q13" s="1">
        <v>341397</v>
      </c>
      <c r="R13" s="1">
        <v>317538</v>
      </c>
      <c r="S13" s="1">
        <v>293750</v>
      </c>
      <c r="T13" s="1">
        <v>273875</v>
      </c>
      <c r="U13" s="1">
        <v>253148</v>
      </c>
      <c r="V13" s="1">
        <v>230263</v>
      </c>
      <c r="W13" s="1">
        <v>203920</v>
      </c>
      <c r="X13" s="1">
        <v>179240</v>
      </c>
      <c r="Y13" s="1">
        <v>158168</v>
      </c>
      <c r="Z13" s="1">
        <v>139516</v>
      </c>
      <c r="AA13" s="1">
        <v>123851</v>
      </c>
      <c r="AB13" s="1">
        <v>108229</v>
      </c>
      <c r="AC13" s="1">
        <v>93074</v>
      </c>
      <c r="AD13" s="1">
        <v>80627</v>
      </c>
      <c r="AE13" s="1">
        <v>69350</v>
      </c>
      <c r="AF13" s="1">
        <v>59101</v>
      </c>
      <c r="AG13" s="7">
        <v>213666</v>
      </c>
      <c r="AH13" s="1">
        <v>961194</v>
      </c>
      <c r="AI13" s="1">
        <v>920516</v>
      </c>
      <c r="AJ13" s="1">
        <v>880603</v>
      </c>
      <c r="AK13" s="1">
        <v>841282</v>
      </c>
      <c r="AL13" s="1">
        <v>803112</v>
      </c>
      <c r="AM13" s="1">
        <v>763784</v>
      </c>
      <c r="AN13" s="1">
        <v>724464</v>
      </c>
      <c r="AO13" s="1">
        <v>687669</v>
      </c>
      <c r="AP13" s="1">
        <v>650535</v>
      </c>
      <c r="AQ13" s="1">
        <v>612420</v>
      </c>
      <c r="AR13" s="1">
        <v>571964</v>
      </c>
      <c r="AS13" s="1">
        <v>532204</v>
      </c>
      <c r="AT13" s="1">
        <v>494729</v>
      </c>
      <c r="AU13" s="1">
        <v>462301</v>
      </c>
      <c r="AV13" s="1">
        <v>437019</v>
      </c>
      <c r="AW13" s="1">
        <v>413481</v>
      </c>
      <c r="AX13" s="1">
        <v>389681</v>
      </c>
      <c r="AY13" s="1">
        <v>369582</v>
      </c>
      <c r="AZ13" s="1">
        <v>347797</v>
      </c>
      <c r="BA13" s="1">
        <v>322486</v>
      </c>
      <c r="BB13" s="1">
        <v>292077</v>
      </c>
      <c r="BC13" s="1">
        <v>262717</v>
      </c>
      <c r="BD13" s="1">
        <v>236917</v>
      </c>
      <c r="BE13" s="1">
        <v>213799</v>
      </c>
      <c r="BF13" s="1">
        <v>194160</v>
      </c>
      <c r="BG13" s="1">
        <v>173704</v>
      </c>
      <c r="BH13" s="1">
        <v>153116</v>
      </c>
      <c r="BI13" s="1">
        <v>135837</v>
      </c>
      <c r="BJ13" s="1">
        <v>119633</v>
      </c>
      <c r="BK13" s="1">
        <v>104346</v>
      </c>
      <c r="BL13" s="1">
        <v>431711</v>
      </c>
    </row>
    <row r="14" spans="1:64" x14ac:dyDescent="0.25">
      <c r="A14" s="23"/>
      <c r="B14" s="1" t="s">
        <v>27</v>
      </c>
      <c r="C14" s="1">
        <v>869161</v>
      </c>
      <c r="D14" s="1">
        <v>826986</v>
      </c>
      <c r="E14" s="1">
        <v>786458</v>
      </c>
      <c r="F14" s="1">
        <v>747387</v>
      </c>
      <c r="G14" s="1">
        <v>709715</v>
      </c>
      <c r="H14" s="1">
        <v>671586</v>
      </c>
      <c r="I14" s="1">
        <v>632781</v>
      </c>
      <c r="J14" s="1">
        <v>596485</v>
      </c>
      <c r="K14" s="1">
        <v>563070</v>
      </c>
      <c r="L14" s="1">
        <v>529392</v>
      </c>
      <c r="M14" s="1">
        <v>491775</v>
      </c>
      <c r="N14" s="1">
        <v>451761</v>
      </c>
      <c r="O14" s="1">
        <v>415643</v>
      </c>
      <c r="P14" s="1">
        <v>382324</v>
      </c>
      <c r="Q14" s="1">
        <v>353078</v>
      </c>
      <c r="R14" s="1">
        <v>326222</v>
      </c>
      <c r="S14" s="1">
        <v>300455</v>
      </c>
      <c r="T14" s="1">
        <v>277948</v>
      </c>
      <c r="U14" s="1">
        <v>259149</v>
      </c>
      <c r="V14" s="1">
        <v>239540</v>
      </c>
      <c r="W14" s="1">
        <v>215042</v>
      </c>
      <c r="X14" s="1">
        <v>187761</v>
      </c>
      <c r="Y14" s="1">
        <v>165043</v>
      </c>
      <c r="Z14" s="1">
        <v>145650</v>
      </c>
      <c r="AA14" s="1">
        <v>128484</v>
      </c>
      <c r="AB14" s="1">
        <v>111874</v>
      </c>
      <c r="AC14" s="1">
        <v>95678</v>
      </c>
      <c r="AD14" s="1">
        <v>82271</v>
      </c>
      <c r="AE14" s="1">
        <v>71264</v>
      </c>
      <c r="AF14" s="1">
        <v>61290</v>
      </c>
      <c r="AG14" s="7">
        <v>226913</v>
      </c>
      <c r="AH14" s="1">
        <v>993152</v>
      </c>
      <c r="AI14" s="1">
        <v>952280</v>
      </c>
      <c r="AJ14" s="1">
        <v>911984</v>
      </c>
      <c r="AK14" s="1">
        <v>872437</v>
      </c>
      <c r="AL14" s="1">
        <v>833482</v>
      </c>
      <c r="AM14" s="1">
        <v>793617</v>
      </c>
      <c r="AN14" s="1">
        <v>752762</v>
      </c>
      <c r="AO14" s="1">
        <v>714003</v>
      </c>
      <c r="AP14" s="1">
        <v>677747</v>
      </c>
      <c r="AQ14" s="1">
        <v>641147</v>
      </c>
      <c r="AR14" s="1">
        <v>601017</v>
      </c>
      <c r="AS14" s="1">
        <v>558839</v>
      </c>
      <c r="AT14" s="1">
        <v>519994</v>
      </c>
      <c r="AU14" s="1">
        <v>483369</v>
      </c>
      <c r="AV14" s="1">
        <v>451684</v>
      </c>
      <c r="AW14" s="1">
        <v>424069</v>
      </c>
      <c r="AX14" s="1">
        <v>398374</v>
      </c>
      <c r="AY14" s="1">
        <v>375441</v>
      </c>
      <c r="AZ14" s="1">
        <v>356082</v>
      </c>
      <c r="BA14" s="1">
        <v>335095</v>
      </c>
      <c r="BB14" s="1">
        <v>307159</v>
      </c>
      <c r="BC14" s="1">
        <v>274796</v>
      </c>
      <c r="BD14" s="1">
        <v>247184</v>
      </c>
      <c r="BE14" s="1">
        <v>222932</v>
      </c>
      <c r="BF14" s="1">
        <v>201184</v>
      </c>
      <c r="BG14" s="1">
        <v>179460</v>
      </c>
      <c r="BH14" s="1">
        <v>157402</v>
      </c>
      <c r="BI14" s="1">
        <v>138748</v>
      </c>
      <c r="BJ14" s="1">
        <v>123091</v>
      </c>
      <c r="BK14" s="1">
        <v>108411</v>
      </c>
      <c r="BL14" s="1">
        <v>461744</v>
      </c>
    </row>
    <row r="15" spans="1:64" x14ac:dyDescent="0.25">
      <c r="A15" s="23"/>
      <c r="B15" s="1" t="s">
        <v>28</v>
      </c>
      <c r="C15" s="1">
        <v>897323</v>
      </c>
      <c r="D15" s="1">
        <v>855562</v>
      </c>
      <c r="E15" s="1">
        <v>814051</v>
      </c>
      <c r="F15" s="1">
        <v>774162</v>
      </c>
      <c r="G15" s="1">
        <v>735696</v>
      </c>
      <c r="H15" s="1">
        <v>696072</v>
      </c>
      <c r="I15" s="1">
        <v>656180</v>
      </c>
      <c r="J15" s="1">
        <v>618261</v>
      </c>
      <c r="K15" s="1">
        <v>582790</v>
      </c>
      <c r="L15" s="1">
        <v>550137</v>
      </c>
      <c r="M15" s="1">
        <v>514110</v>
      </c>
      <c r="N15" s="1">
        <v>474578</v>
      </c>
      <c r="O15" s="1">
        <v>435962</v>
      </c>
      <c r="P15" s="1">
        <v>401096</v>
      </c>
      <c r="Q15" s="1">
        <v>368941</v>
      </c>
      <c r="R15" s="1">
        <v>337598</v>
      </c>
      <c r="S15" s="1">
        <v>308904</v>
      </c>
      <c r="T15" s="1">
        <v>284512</v>
      </c>
      <c r="U15" s="1">
        <v>263201</v>
      </c>
      <c r="V15" s="1">
        <v>245407</v>
      </c>
      <c r="W15" s="1">
        <v>223904</v>
      </c>
      <c r="X15" s="1">
        <v>198194</v>
      </c>
      <c r="Y15" s="1">
        <v>173064</v>
      </c>
      <c r="Z15" s="1">
        <v>152138</v>
      </c>
      <c r="AA15" s="1">
        <v>134264</v>
      </c>
      <c r="AB15" s="1">
        <v>116204</v>
      </c>
      <c r="AC15" s="1">
        <v>99051</v>
      </c>
      <c r="AD15" s="1">
        <v>84703</v>
      </c>
      <c r="AE15" s="1">
        <v>72833</v>
      </c>
      <c r="AF15" s="1">
        <v>63080</v>
      </c>
      <c r="AG15" s="7">
        <v>240102</v>
      </c>
      <c r="AH15" s="1">
        <v>1024733</v>
      </c>
      <c r="AI15" s="1">
        <v>984121</v>
      </c>
      <c r="AJ15" s="1">
        <v>943622</v>
      </c>
      <c r="AK15" s="1">
        <v>903688</v>
      </c>
      <c r="AL15" s="1">
        <v>864512</v>
      </c>
      <c r="AM15" s="1">
        <v>823808</v>
      </c>
      <c r="AN15" s="1">
        <v>782364</v>
      </c>
      <c r="AO15" s="1">
        <v>742091</v>
      </c>
      <c r="AP15" s="1">
        <v>703884</v>
      </c>
      <c r="AQ15" s="1">
        <v>668144</v>
      </c>
      <c r="AR15" s="1">
        <v>629419</v>
      </c>
      <c r="AS15" s="1">
        <v>587462</v>
      </c>
      <c r="AT15" s="1">
        <v>546238</v>
      </c>
      <c r="AU15" s="1">
        <v>508264</v>
      </c>
      <c r="AV15" s="1">
        <v>472459</v>
      </c>
      <c r="AW15" s="1">
        <v>438521</v>
      </c>
      <c r="AX15" s="1">
        <v>408824</v>
      </c>
      <c r="AY15" s="1">
        <v>384049</v>
      </c>
      <c r="AZ15" s="1">
        <v>361949</v>
      </c>
      <c r="BA15" s="1">
        <v>343285</v>
      </c>
      <c r="BB15" s="1">
        <v>319416</v>
      </c>
      <c r="BC15" s="1">
        <v>289273</v>
      </c>
      <c r="BD15" s="1">
        <v>258810</v>
      </c>
      <c r="BE15" s="1">
        <v>232812</v>
      </c>
      <c r="BF15" s="1">
        <v>209985</v>
      </c>
      <c r="BG15" s="1">
        <v>186197</v>
      </c>
      <c r="BH15" s="1">
        <v>162895</v>
      </c>
      <c r="BI15" s="1">
        <v>142875</v>
      </c>
      <c r="BJ15" s="1">
        <v>125943</v>
      </c>
      <c r="BK15" s="1">
        <v>111736</v>
      </c>
      <c r="BL15" s="1">
        <v>491843</v>
      </c>
    </row>
    <row r="16" spans="1:64" x14ac:dyDescent="0.25">
      <c r="A16" s="23"/>
      <c r="B16" s="1" t="s">
        <v>29</v>
      </c>
      <c r="C16" s="1">
        <v>924629</v>
      </c>
      <c r="D16" s="1">
        <v>883507</v>
      </c>
      <c r="E16" s="1">
        <v>842388</v>
      </c>
      <c r="F16" s="1">
        <v>801531</v>
      </c>
      <c r="G16" s="1">
        <v>762248</v>
      </c>
      <c r="H16" s="1">
        <v>721775</v>
      </c>
      <c r="I16" s="1">
        <v>680363</v>
      </c>
      <c r="J16" s="1">
        <v>641369</v>
      </c>
      <c r="K16" s="1">
        <v>604297</v>
      </c>
      <c r="L16" s="1">
        <v>569622</v>
      </c>
      <c r="M16" s="1">
        <v>534499</v>
      </c>
      <c r="N16" s="1">
        <v>496395</v>
      </c>
      <c r="O16" s="1">
        <v>458216</v>
      </c>
      <c r="P16" s="1">
        <v>420928</v>
      </c>
      <c r="Q16" s="1">
        <v>387259</v>
      </c>
      <c r="R16" s="1">
        <v>352987</v>
      </c>
      <c r="S16" s="1">
        <v>319912</v>
      </c>
      <c r="T16" s="1">
        <v>292726</v>
      </c>
      <c r="U16" s="1">
        <v>269612</v>
      </c>
      <c r="V16" s="1">
        <v>249421</v>
      </c>
      <c r="W16" s="1">
        <v>229579</v>
      </c>
      <c r="X16" s="1">
        <v>206565</v>
      </c>
      <c r="Y16" s="1">
        <v>182857</v>
      </c>
      <c r="Z16" s="1">
        <v>159681</v>
      </c>
      <c r="AA16" s="1">
        <v>140377</v>
      </c>
      <c r="AB16" s="1">
        <v>121570</v>
      </c>
      <c r="AC16" s="1">
        <v>103025</v>
      </c>
      <c r="AD16" s="1">
        <v>87822</v>
      </c>
      <c r="AE16" s="1">
        <v>75091</v>
      </c>
      <c r="AF16" s="1">
        <v>64570</v>
      </c>
      <c r="AG16" s="7">
        <v>252916</v>
      </c>
      <c r="AH16" s="1">
        <v>1055906</v>
      </c>
      <c r="AI16" s="1">
        <v>1015569</v>
      </c>
      <c r="AJ16" s="1">
        <v>975327</v>
      </c>
      <c r="AK16" s="1">
        <v>935193</v>
      </c>
      <c r="AL16" s="1">
        <v>895612</v>
      </c>
      <c r="AM16" s="1">
        <v>854653</v>
      </c>
      <c r="AN16" s="1">
        <v>812318</v>
      </c>
      <c r="AO16" s="1">
        <v>771460</v>
      </c>
      <c r="AP16" s="1">
        <v>731744</v>
      </c>
      <c r="AQ16" s="1">
        <v>694079</v>
      </c>
      <c r="AR16" s="1">
        <v>656117</v>
      </c>
      <c r="AS16" s="1">
        <v>615451</v>
      </c>
      <c r="AT16" s="1">
        <v>574430</v>
      </c>
      <c r="AU16" s="1">
        <v>534118</v>
      </c>
      <c r="AV16" s="1">
        <v>496975</v>
      </c>
      <c r="AW16" s="1">
        <v>458920</v>
      </c>
      <c r="AX16" s="1">
        <v>422993</v>
      </c>
      <c r="AY16" s="1">
        <v>394354</v>
      </c>
      <c r="AZ16" s="1">
        <v>370460</v>
      </c>
      <c r="BA16" s="1">
        <v>349151</v>
      </c>
      <c r="BB16" s="1">
        <v>327472</v>
      </c>
      <c r="BC16" s="1">
        <v>301098</v>
      </c>
      <c r="BD16" s="1">
        <v>272697</v>
      </c>
      <c r="BE16" s="1">
        <v>243994</v>
      </c>
      <c r="BF16" s="1">
        <v>219495</v>
      </c>
      <c r="BG16" s="1">
        <v>194575</v>
      </c>
      <c r="BH16" s="1">
        <v>169281</v>
      </c>
      <c r="BI16" s="1">
        <v>148101</v>
      </c>
      <c r="BJ16" s="1">
        <v>129901</v>
      </c>
      <c r="BK16" s="1">
        <v>114506</v>
      </c>
      <c r="BL16" s="1">
        <v>521388</v>
      </c>
    </row>
    <row r="17" spans="1:64" x14ac:dyDescent="0.25">
      <c r="A17" s="23"/>
      <c r="B17" s="1" t="s">
        <v>30</v>
      </c>
      <c r="C17" s="1">
        <v>950842</v>
      </c>
      <c r="D17" s="1">
        <v>910596</v>
      </c>
      <c r="E17" s="1">
        <v>870114</v>
      </c>
      <c r="F17" s="1">
        <v>829622</v>
      </c>
      <c r="G17" s="1">
        <v>789389</v>
      </c>
      <c r="H17" s="1">
        <v>748047</v>
      </c>
      <c r="I17" s="1">
        <v>705739</v>
      </c>
      <c r="J17" s="1">
        <v>665238</v>
      </c>
      <c r="K17" s="1">
        <v>627118</v>
      </c>
      <c r="L17" s="1">
        <v>590858</v>
      </c>
      <c r="M17" s="1">
        <v>553665</v>
      </c>
      <c r="N17" s="1">
        <v>516343</v>
      </c>
      <c r="O17" s="1">
        <v>479522</v>
      </c>
      <c r="P17" s="1">
        <v>442634</v>
      </c>
      <c r="Q17" s="1">
        <v>406614</v>
      </c>
      <c r="R17" s="1">
        <v>370743</v>
      </c>
      <c r="S17" s="1">
        <v>334732</v>
      </c>
      <c r="T17" s="1">
        <v>303366</v>
      </c>
      <c r="U17" s="1">
        <v>277588</v>
      </c>
      <c r="V17" s="1">
        <v>255676</v>
      </c>
      <c r="W17" s="1">
        <v>233524</v>
      </c>
      <c r="X17" s="1">
        <v>211994</v>
      </c>
      <c r="Y17" s="1">
        <v>190756</v>
      </c>
      <c r="Z17" s="1">
        <v>168870</v>
      </c>
      <c r="AA17" s="1">
        <v>147475</v>
      </c>
      <c r="AB17" s="1">
        <v>127235</v>
      </c>
      <c r="AC17" s="1">
        <v>107919</v>
      </c>
      <c r="AD17" s="1">
        <v>91464</v>
      </c>
      <c r="AE17" s="1">
        <v>77968</v>
      </c>
      <c r="AF17" s="1">
        <v>66666</v>
      </c>
      <c r="AG17" s="7">
        <v>265178</v>
      </c>
      <c r="AH17" s="1">
        <v>1086195</v>
      </c>
      <c r="AI17" s="1">
        <v>1046613</v>
      </c>
      <c r="AJ17" s="1">
        <v>1006636</v>
      </c>
      <c r="AK17" s="1">
        <v>966750</v>
      </c>
      <c r="AL17" s="1">
        <v>926971</v>
      </c>
      <c r="AM17" s="1">
        <v>885558</v>
      </c>
      <c r="AN17" s="1">
        <v>842930</v>
      </c>
      <c r="AO17" s="1">
        <v>801170</v>
      </c>
      <c r="AP17" s="1">
        <v>760876</v>
      </c>
      <c r="AQ17" s="1">
        <v>721710</v>
      </c>
      <c r="AR17" s="1">
        <v>681773</v>
      </c>
      <c r="AS17" s="1">
        <v>641779</v>
      </c>
      <c r="AT17" s="1">
        <v>602002</v>
      </c>
      <c r="AU17" s="1">
        <v>561881</v>
      </c>
      <c r="AV17" s="1">
        <v>522450</v>
      </c>
      <c r="AW17" s="1">
        <v>482943</v>
      </c>
      <c r="AX17" s="1">
        <v>442928</v>
      </c>
      <c r="AY17" s="1">
        <v>408249</v>
      </c>
      <c r="AZ17" s="1">
        <v>380612</v>
      </c>
      <c r="BA17" s="1">
        <v>357552</v>
      </c>
      <c r="BB17" s="1">
        <v>333307</v>
      </c>
      <c r="BC17" s="1">
        <v>308974</v>
      </c>
      <c r="BD17" s="1">
        <v>284105</v>
      </c>
      <c r="BE17" s="1">
        <v>257313</v>
      </c>
      <c r="BF17" s="1">
        <v>230240</v>
      </c>
      <c r="BG17" s="1">
        <v>203624</v>
      </c>
      <c r="BH17" s="1">
        <v>177160</v>
      </c>
      <c r="BI17" s="1">
        <v>154143</v>
      </c>
      <c r="BJ17" s="1">
        <v>134861</v>
      </c>
      <c r="BK17" s="1">
        <v>118290</v>
      </c>
      <c r="BL17" s="1">
        <v>549987</v>
      </c>
    </row>
    <row r="18" spans="1:64" x14ac:dyDescent="0.25">
      <c r="A18" s="23"/>
      <c r="B18" s="1" t="s">
        <v>31</v>
      </c>
      <c r="C18" s="1">
        <v>977405</v>
      </c>
      <c r="D18" s="1">
        <v>936628</v>
      </c>
      <c r="E18" s="1">
        <v>896984</v>
      </c>
      <c r="F18" s="1">
        <v>857122</v>
      </c>
      <c r="G18" s="1">
        <v>817240</v>
      </c>
      <c r="H18" s="1">
        <v>774896</v>
      </c>
      <c r="I18" s="1">
        <v>731671</v>
      </c>
      <c r="J18" s="1">
        <v>690289</v>
      </c>
      <c r="K18" s="1">
        <v>650675</v>
      </c>
      <c r="L18" s="1">
        <v>613387</v>
      </c>
      <c r="M18" s="1">
        <v>574544</v>
      </c>
      <c r="N18" s="1">
        <v>535113</v>
      </c>
      <c r="O18" s="1">
        <v>499030</v>
      </c>
      <c r="P18" s="1">
        <v>463438</v>
      </c>
      <c r="Q18" s="1">
        <v>427785</v>
      </c>
      <c r="R18" s="1">
        <v>389500</v>
      </c>
      <c r="S18" s="1">
        <v>351814</v>
      </c>
      <c r="T18" s="1">
        <v>317640</v>
      </c>
      <c r="U18" s="1">
        <v>287871</v>
      </c>
      <c r="V18" s="1">
        <v>263410</v>
      </c>
      <c r="W18" s="1">
        <v>239559</v>
      </c>
      <c r="X18" s="1">
        <v>215832</v>
      </c>
      <c r="Y18" s="1">
        <v>195947</v>
      </c>
      <c r="Z18" s="1">
        <v>176321</v>
      </c>
      <c r="AA18" s="1">
        <v>156099</v>
      </c>
      <c r="AB18" s="1">
        <v>133804</v>
      </c>
      <c r="AC18" s="1">
        <v>113080</v>
      </c>
      <c r="AD18" s="1">
        <v>95925</v>
      </c>
      <c r="AE18" s="1">
        <v>81304</v>
      </c>
      <c r="AF18" s="1">
        <v>69309</v>
      </c>
      <c r="AG18" s="7">
        <v>277513</v>
      </c>
      <c r="AH18" s="1">
        <v>1116174</v>
      </c>
      <c r="AI18" s="1">
        <v>1076777</v>
      </c>
      <c r="AJ18" s="1">
        <v>1037550</v>
      </c>
      <c r="AK18" s="1">
        <v>997917</v>
      </c>
      <c r="AL18" s="1">
        <v>958378</v>
      </c>
      <c r="AM18" s="1">
        <v>916729</v>
      </c>
      <c r="AN18" s="1">
        <v>873594</v>
      </c>
      <c r="AO18" s="1">
        <v>831542</v>
      </c>
      <c r="AP18" s="1">
        <v>790349</v>
      </c>
      <c r="AQ18" s="1">
        <v>750601</v>
      </c>
      <c r="AR18" s="1">
        <v>709101</v>
      </c>
      <c r="AS18" s="1">
        <v>667096</v>
      </c>
      <c r="AT18" s="1">
        <v>627959</v>
      </c>
      <c r="AU18" s="1">
        <v>589046</v>
      </c>
      <c r="AV18" s="1">
        <v>549789</v>
      </c>
      <c r="AW18" s="1">
        <v>507920</v>
      </c>
      <c r="AX18" s="1">
        <v>466368</v>
      </c>
      <c r="AY18" s="1">
        <v>427722</v>
      </c>
      <c r="AZ18" s="1">
        <v>394227</v>
      </c>
      <c r="BA18" s="1">
        <v>367546</v>
      </c>
      <c r="BB18" s="1">
        <v>341562</v>
      </c>
      <c r="BC18" s="1">
        <v>314760</v>
      </c>
      <c r="BD18" s="1">
        <v>291789</v>
      </c>
      <c r="BE18" s="1">
        <v>268307</v>
      </c>
      <c r="BF18" s="1">
        <v>243015</v>
      </c>
      <c r="BG18" s="1">
        <v>213824</v>
      </c>
      <c r="BH18" s="1">
        <v>185660</v>
      </c>
      <c r="BI18" s="1">
        <v>161546</v>
      </c>
      <c r="BJ18" s="1">
        <v>140565</v>
      </c>
      <c r="BK18" s="1">
        <v>122989</v>
      </c>
      <c r="BL18" s="1">
        <v>578698</v>
      </c>
    </row>
    <row r="19" spans="1:64" x14ac:dyDescent="0.25">
      <c r="A19" s="23"/>
      <c r="B19" s="1" t="s">
        <v>32</v>
      </c>
      <c r="C19" s="1">
        <v>1004443</v>
      </c>
      <c r="D19" s="1">
        <v>962988</v>
      </c>
      <c r="E19" s="1">
        <v>922825</v>
      </c>
      <c r="F19" s="1">
        <v>883774</v>
      </c>
      <c r="G19" s="1">
        <v>844506</v>
      </c>
      <c r="H19" s="1">
        <v>802452</v>
      </c>
      <c r="I19" s="1">
        <v>758170</v>
      </c>
      <c r="J19" s="1">
        <v>715876</v>
      </c>
      <c r="K19" s="1">
        <v>675396</v>
      </c>
      <c r="L19" s="1">
        <v>636641</v>
      </c>
      <c r="M19" s="1">
        <v>596682</v>
      </c>
      <c r="N19" s="1">
        <v>555543</v>
      </c>
      <c r="O19" s="1">
        <v>517410</v>
      </c>
      <c r="P19" s="1">
        <v>482512</v>
      </c>
      <c r="Q19" s="1">
        <v>448096</v>
      </c>
      <c r="R19" s="1">
        <v>410008</v>
      </c>
      <c r="S19" s="1">
        <v>369857</v>
      </c>
      <c r="T19" s="1">
        <v>334071</v>
      </c>
      <c r="U19" s="1">
        <v>301611</v>
      </c>
      <c r="V19" s="1">
        <v>273348</v>
      </c>
      <c r="W19" s="1">
        <v>246981</v>
      </c>
      <c r="X19" s="1">
        <v>221599</v>
      </c>
      <c r="Y19" s="1">
        <v>199663</v>
      </c>
      <c r="Z19" s="1">
        <v>181272</v>
      </c>
      <c r="AA19" s="1">
        <v>163126</v>
      </c>
      <c r="AB19" s="1">
        <v>141767</v>
      </c>
      <c r="AC19" s="1">
        <v>119050</v>
      </c>
      <c r="AD19" s="1">
        <v>100627</v>
      </c>
      <c r="AE19" s="1">
        <v>85367</v>
      </c>
      <c r="AF19" s="1">
        <v>72367</v>
      </c>
      <c r="AG19" s="7">
        <v>290381</v>
      </c>
      <c r="AH19" s="1">
        <v>1146287</v>
      </c>
      <c r="AI19" s="1">
        <v>1106637</v>
      </c>
      <c r="AJ19" s="1">
        <v>1067587</v>
      </c>
      <c r="AK19" s="1">
        <v>1028702</v>
      </c>
      <c r="AL19" s="1">
        <v>989407</v>
      </c>
      <c r="AM19" s="1">
        <v>947939</v>
      </c>
      <c r="AN19" s="1">
        <v>904529</v>
      </c>
      <c r="AO19" s="1">
        <v>861969</v>
      </c>
      <c r="AP19" s="1">
        <v>820479</v>
      </c>
      <c r="AQ19" s="1">
        <v>779837</v>
      </c>
      <c r="AR19" s="1">
        <v>737674</v>
      </c>
      <c r="AS19" s="1">
        <v>694046</v>
      </c>
      <c r="AT19" s="1">
        <v>652940</v>
      </c>
      <c r="AU19" s="1">
        <v>614634</v>
      </c>
      <c r="AV19" s="1">
        <v>576554</v>
      </c>
      <c r="AW19" s="1">
        <v>534718</v>
      </c>
      <c r="AX19" s="1">
        <v>490738</v>
      </c>
      <c r="AY19" s="1">
        <v>450585</v>
      </c>
      <c r="AZ19" s="1">
        <v>413247</v>
      </c>
      <c r="BA19" s="1">
        <v>380887</v>
      </c>
      <c r="BB19" s="1">
        <v>351339</v>
      </c>
      <c r="BC19" s="1">
        <v>322827</v>
      </c>
      <c r="BD19" s="1">
        <v>297501</v>
      </c>
      <c r="BE19" s="1">
        <v>275792</v>
      </c>
      <c r="BF19" s="1">
        <v>253606</v>
      </c>
      <c r="BG19" s="1">
        <v>225927</v>
      </c>
      <c r="BH19" s="1">
        <v>195227</v>
      </c>
      <c r="BI19" s="1">
        <v>169517</v>
      </c>
      <c r="BJ19" s="1">
        <v>147518</v>
      </c>
      <c r="BK19" s="1">
        <v>128364</v>
      </c>
      <c r="BL19" s="1">
        <v>608342</v>
      </c>
    </row>
    <row r="20" spans="1:64" x14ac:dyDescent="0.25">
      <c r="A20" s="23"/>
      <c r="B20" s="1" t="s">
        <v>33</v>
      </c>
      <c r="C20" s="1">
        <v>1028984</v>
      </c>
      <c r="D20" s="1">
        <v>989827</v>
      </c>
      <c r="E20" s="1">
        <v>948980</v>
      </c>
      <c r="F20" s="1">
        <v>909412</v>
      </c>
      <c r="G20" s="1">
        <v>870946</v>
      </c>
      <c r="H20" s="1">
        <v>829426</v>
      </c>
      <c r="I20" s="1">
        <v>785370</v>
      </c>
      <c r="J20" s="1">
        <v>742028</v>
      </c>
      <c r="K20" s="1">
        <v>700644</v>
      </c>
      <c r="L20" s="1">
        <v>661024</v>
      </c>
      <c r="M20" s="1">
        <v>619530</v>
      </c>
      <c r="N20" s="1">
        <v>577200</v>
      </c>
      <c r="O20" s="1">
        <v>537398</v>
      </c>
      <c r="P20" s="1">
        <v>500504</v>
      </c>
      <c r="Q20" s="1">
        <v>466748</v>
      </c>
      <c r="R20" s="1">
        <v>429692</v>
      </c>
      <c r="S20" s="1">
        <v>389580</v>
      </c>
      <c r="T20" s="1">
        <v>351422</v>
      </c>
      <c r="U20" s="1">
        <v>317419</v>
      </c>
      <c r="V20" s="1">
        <v>286569</v>
      </c>
      <c r="W20" s="1">
        <v>256483</v>
      </c>
      <c r="X20" s="1">
        <v>228650</v>
      </c>
      <c r="Y20" s="1">
        <v>205161</v>
      </c>
      <c r="Z20" s="1">
        <v>184864</v>
      </c>
      <c r="AA20" s="1">
        <v>167838</v>
      </c>
      <c r="AB20" s="1">
        <v>148290</v>
      </c>
      <c r="AC20" s="1">
        <v>126273</v>
      </c>
      <c r="AD20" s="1">
        <v>106051</v>
      </c>
      <c r="AE20" s="1">
        <v>89651</v>
      </c>
      <c r="AF20" s="1">
        <v>76061</v>
      </c>
      <c r="AG20" s="7">
        <v>304062</v>
      </c>
      <c r="AH20" s="1">
        <v>1172692</v>
      </c>
      <c r="AI20" s="1">
        <v>1136635</v>
      </c>
      <c r="AJ20" s="1">
        <v>1097322</v>
      </c>
      <c r="AK20" s="1">
        <v>1058606</v>
      </c>
      <c r="AL20" s="1">
        <v>1020056</v>
      </c>
      <c r="AM20" s="1">
        <v>978785</v>
      </c>
      <c r="AN20" s="1">
        <v>935503</v>
      </c>
      <c r="AO20" s="1">
        <v>892663</v>
      </c>
      <c r="AP20" s="1">
        <v>850667</v>
      </c>
      <c r="AQ20" s="1">
        <v>809724</v>
      </c>
      <c r="AR20" s="1">
        <v>766591</v>
      </c>
      <c r="AS20" s="1">
        <v>722230</v>
      </c>
      <c r="AT20" s="1">
        <v>679507</v>
      </c>
      <c r="AU20" s="1">
        <v>639277</v>
      </c>
      <c r="AV20" s="1">
        <v>601769</v>
      </c>
      <c r="AW20" s="1">
        <v>560976</v>
      </c>
      <c r="AX20" s="1">
        <v>516879</v>
      </c>
      <c r="AY20" s="1">
        <v>474365</v>
      </c>
      <c r="AZ20" s="1">
        <v>435551</v>
      </c>
      <c r="BA20" s="1">
        <v>399453</v>
      </c>
      <c r="BB20" s="1">
        <v>364324</v>
      </c>
      <c r="BC20" s="1">
        <v>332334</v>
      </c>
      <c r="BD20" s="1">
        <v>305371</v>
      </c>
      <c r="BE20" s="1">
        <v>281419</v>
      </c>
      <c r="BF20" s="1">
        <v>260886</v>
      </c>
      <c r="BG20" s="1">
        <v>236009</v>
      </c>
      <c r="BH20" s="1">
        <v>206539</v>
      </c>
      <c r="BI20" s="1">
        <v>178484</v>
      </c>
      <c r="BJ20" s="1">
        <v>154992</v>
      </c>
      <c r="BK20" s="1">
        <v>134886</v>
      </c>
      <c r="BL20" s="1">
        <v>639404</v>
      </c>
    </row>
    <row r="21" spans="1:64" x14ac:dyDescent="0.25">
      <c r="A21" s="23"/>
      <c r="B21" s="1" t="s">
        <v>34</v>
      </c>
      <c r="C21" s="1">
        <v>1050259</v>
      </c>
      <c r="D21" s="1">
        <v>1014201</v>
      </c>
      <c r="E21" s="1">
        <v>975612</v>
      </c>
      <c r="F21" s="1">
        <v>935371</v>
      </c>
      <c r="G21" s="1">
        <v>896378</v>
      </c>
      <c r="H21" s="1">
        <v>855594</v>
      </c>
      <c r="I21" s="1">
        <v>811994</v>
      </c>
      <c r="J21" s="1">
        <v>768873</v>
      </c>
      <c r="K21" s="1">
        <v>726449</v>
      </c>
      <c r="L21" s="1">
        <v>685934</v>
      </c>
      <c r="M21" s="1">
        <v>643480</v>
      </c>
      <c r="N21" s="1">
        <v>599543</v>
      </c>
      <c r="O21" s="1">
        <v>558576</v>
      </c>
      <c r="P21" s="1">
        <v>520056</v>
      </c>
      <c r="Q21" s="1">
        <v>484351</v>
      </c>
      <c r="R21" s="1">
        <v>447812</v>
      </c>
      <c r="S21" s="1">
        <v>408525</v>
      </c>
      <c r="T21" s="1">
        <v>370388</v>
      </c>
      <c r="U21" s="1">
        <v>334107</v>
      </c>
      <c r="V21" s="1">
        <v>301776</v>
      </c>
      <c r="W21" s="1">
        <v>269074</v>
      </c>
      <c r="X21" s="1">
        <v>237634</v>
      </c>
      <c r="Y21" s="1">
        <v>211849</v>
      </c>
      <c r="Z21" s="1">
        <v>190100</v>
      </c>
      <c r="AA21" s="1">
        <v>171299</v>
      </c>
      <c r="AB21" s="1">
        <v>152711</v>
      </c>
      <c r="AC21" s="1">
        <v>132223</v>
      </c>
      <c r="AD21" s="1">
        <v>112598</v>
      </c>
      <c r="AE21" s="1">
        <v>94583</v>
      </c>
      <c r="AF21" s="1">
        <v>79959</v>
      </c>
      <c r="AG21" s="7">
        <v>318955</v>
      </c>
      <c r="AH21" s="1">
        <v>1193970</v>
      </c>
      <c r="AI21" s="1">
        <v>1162947</v>
      </c>
      <c r="AJ21" s="1">
        <v>1127197</v>
      </c>
      <c r="AK21" s="1">
        <v>1088224</v>
      </c>
      <c r="AL21" s="1">
        <v>1049829</v>
      </c>
      <c r="AM21" s="1">
        <v>1009255</v>
      </c>
      <c r="AN21" s="1">
        <v>966121</v>
      </c>
      <c r="AO21" s="1">
        <v>923403</v>
      </c>
      <c r="AP21" s="1">
        <v>881117</v>
      </c>
      <c r="AQ21" s="1">
        <v>839671</v>
      </c>
      <c r="AR21" s="1">
        <v>796161</v>
      </c>
      <c r="AS21" s="1">
        <v>750748</v>
      </c>
      <c r="AT21" s="1">
        <v>707305</v>
      </c>
      <c r="AU21" s="1">
        <v>665469</v>
      </c>
      <c r="AV21" s="1">
        <v>626080</v>
      </c>
      <c r="AW21" s="1">
        <v>585718</v>
      </c>
      <c r="AX21" s="1">
        <v>542510</v>
      </c>
      <c r="AY21" s="1">
        <v>499868</v>
      </c>
      <c r="AZ21" s="1">
        <v>458751</v>
      </c>
      <c r="BA21" s="1">
        <v>421218</v>
      </c>
      <c r="BB21" s="1">
        <v>382308</v>
      </c>
      <c r="BC21" s="1">
        <v>344888</v>
      </c>
      <c r="BD21" s="1">
        <v>314597</v>
      </c>
      <c r="BE21" s="1">
        <v>289084</v>
      </c>
      <c r="BF21" s="1">
        <v>266418</v>
      </c>
      <c r="BG21" s="1">
        <v>243024</v>
      </c>
      <c r="BH21" s="1">
        <v>216020</v>
      </c>
      <c r="BI21" s="1">
        <v>189061</v>
      </c>
      <c r="BJ21" s="1">
        <v>163391</v>
      </c>
      <c r="BK21" s="1">
        <v>141889</v>
      </c>
      <c r="BL21" s="1">
        <v>672708</v>
      </c>
    </row>
    <row r="22" spans="1:64" x14ac:dyDescent="0.25">
      <c r="A22" s="23" t="s">
        <v>61</v>
      </c>
      <c r="B22" s="1" t="s">
        <v>20</v>
      </c>
      <c r="C22" s="1">
        <v>41262</v>
      </c>
      <c r="D22" s="1">
        <v>38679</v>
      </c>
      <c r="E22" s="1">
        <v>36337</v>
      </c>
      <c r="F22" s="1">
        <v>34327</v>
      </c>
      <c r="G22" s="1">
        <v>32553</v>
      </c>
      <c r="H22" s="1">
        <v>30827</v>
      </c>
      <c r="I22" s="1">
        <v>29190</v>
      </c>
      <c r="J22" s="1">
        <v>27547</v>
      </c>
      <c r="K22" s="1">
        <v>25835</v>
      </c>
      <c r="L22" s="1">
        <v>24100</v>
      </c>
      <c r="M22" s="1">
        <v>22455</v>
      </c>
      <c r="N22" s="1">
        <v>20876</v>
      </c>
      <c r="O22" s="1">
        <v>19350</v>
      </c>
      <c r="P22" s="1">
        <v>17883</v>
      </c>
      <c r="Q22" s="1">
        <v>16470</v>
      </c>
      <c r="R22" s="1">
        <v>15111</v>
      </c>
      <c r="S22" s="1">
        <v>13805</v>
      </c>
      <c r="T22" s="1">
        <v>12553</v>
      </c>
      <c r="U22" s="1">
        <v>11355</v>
      </c>
      <c r="V22" s="1">
        <v>10212</v>
      </c>
      <c r="W22" s="1">
        <v>9128</v>
      </c>
      <c r="X22" s="1">
        <v>8105</v>
      </c>
      <c r="Y22" s="1">
        <v>7142</v>
      </c>
      <c r="Z22" s="1">
        <v>6243</v>
      </c>
      <c r="AA22" s="1">
        <v>5407</v>
      </c>
      <c r="AB22" s="1">
        <v>4635</v>
      </c>
      <c r="AC22" s="1">
        <v>3931</v>
      </c>
      <c r="AD22" s="1">
        <v>3293</v>
      </c>
      <c r="AE22" s="1">
        <v>2725</v>
      </c>
      <c r="AF22" s="1">
        <v>2227</v>
      </c>
      <c r="AG22" s="7">
        <v>10089</v>
      </c>
      <c r="AH22" s="1">
        <v>39973</v>
      </c>
      <c r="AI22" s="1">
        <v>37335</v>
      </c>
      <c r="AJ22" s="1">
        <v>35007</v>
      </c>
      <c r="AK22" s="1">
        <v>33122</v>
      </c>
      <c r="AL22" s="1">
        <v>31547</v>
      </c>
      <c r="AM22" s="1">
        <v>30006</v>
      </c>
      <c r="AN22" s="1">
        <v>28557</v>
      </c>
      <c r="AO22" s="1">
        <v>27088</v>
      </c>
      <c r="AP22" s="1">
        <v>25517</v>
      </c>
      <c r="AQ22" s="1">
        <v>23900</v>
      </c>
      <c r="AR22" s="1">
        <v>22380</v>
      </c>
      <c r="AS22" s="1">
        <v>20928</v>
      </c>
      <c r="AT22" s="1">
        <v>19516</v>
      </c>
      <c r="AU22" s="1">
        <v>18136</v>
      </c>
      <c r="AV22" s="1">
        <v>16795</v>
      </c>
      <c r="AW22" s="1">
        <v>15501</v>
      </c>
      <c r="AX22" s="1">
        <v>14247</v>
      </c>
      <c r="AY22" s="1">
        <v>13058</v>
      </c>
      <c r="AZ22" s="1">
        <v>11941</v>
      </c>
      <c r="BA22" s="1">
        <v>10889</v>
      </c>
      <c r="BB22" s="1">
        <v>9878</v>
      </c>
      <c r="BC22" s="1">
        <v>8917</v>
      </c>
      <c r="BD22" s="1">
        <v>8000</v>
      </c>
      <c r="BE22" s="1">
        <v>7134</v>
      </c>
      <c r="BF22" s="1">
        <v>6310</v>
      </c>
      <c r="BG22" s="1">
        <v>5531</v>
      </c>
      <c r="BH22" s="1">
        <v>4796</v>
      </c>
      <c r="BI22" s="1">
        <v>4099</v>
      </c>
      <c r="BJ22" s="1">
        <v>3445</v>
      </c>
      <c r="BK22" s="1">
        <v>2829</v>
      </c>
      <c r="BL22" s="1">
        <v>15416</v>
      </c>
    </row>
    <row r="23" spans="1:64" x14ac:dyDescent="0.25">
      <c r="A23" s="23"/>
      <c r="B23" s="1" t="s">
        <v>21</v>
      </c>
      <c r="C23" s="1">
        <v>43172</v>
      </c>
      <c r="D23" s="1">
        <v>40448</v>
      </c>
      <c r="E23" s="1">
        <v>37912</v>
      </c>
      <c r="F23" s="1">
        <v>35618</v>
      </c>
      <c r="G23" s="1">
        <v>33648</v>
      </c>
      <c r="H23" s="1">
        <v>31772</v>
      </c>
      <c r="I23" s="1">
        <v>29942</v>
      </c>
      <c r="J23" s="1">
        <v>28357</v>
      </c>
      <c r="K23" s="1">
        <v>26758</v>
      </c>
      <c r="L23" s="1">
        <v>25096</v>
      </c>
      <c r="M23" s="1">
        <v>23209</v>
      </c>
      <c r="N23" s="1">
        <v>21436</v>
      </c>
      <c r="O23" s="1">
        <v>19928</v>
      </c>
      <c r="P23" s="1">
        <v>18471</v>
      </c>
      <c r="Q23" s="1">
        <v>17070</v>
      </c>
      <c r="R23" s="1">
        <v>15569</v>
      </c>
      <c r="S23" s="1">
        <v>14137</v>
      </c>
      <c r="T23" s="1">
        <v>12915</v>
      </c>
      <c r="U23" s="1">
        <v>11745</v>
      </c>
      <c r="V23" s="1">
        <v>10621</v>
      </c>
      <c r="W23" s="1">
        <v>9407</v>
      </c>
      <c r="X23" s="1">
        <v>8263</v>
      </c>
      <c r="Y23" s="1">
        <v>7338</v>
      </c>
      <c r="Z23" s="1">
        <v>6467</v>
      </c>
      <c r="AA23" s="1">
        <v>5653</v>
      </c>
      <c r="AB23" s="1">
        <v>4791</v>
      </c>
      <c r="AC23" s="1">
        <v>4003</v>
      </c>
      <c r="AD23" s="1">
        <v>3395</v>
      </c>
      <c r="AE23" s="1">
        <v>2844</v>
      </c>
      <c r="AF23" s="1">
        <v>2356</v>
      </c>
      <c r="AG23" s="7">
        <v>10073</v>
      </c>
      <c r="AH23" s="1">
        <v>42146</v>
      </c>
      <c r="AI23" s="1">
        <v>39417</v>
      </c>
      <c r="AJ23" s="1">
        <v>36818</v>
      </c>
      <c r="AK23" s="1">
        <v>34521</v>
      </c>
      <c r="AL23" s="1">
        <v>32659</v>
      </c>
      <c r="AM23" s="1">
        <v>31015</v>
      </c>
      <c r="AN23" s="1">
        <v>29413</v>
      </c>
      <c r="AO23" s="1">
        <v>27993</v>
      </c>
      <c r="AP23" s="1">
        <v>26554</v>
      </c>
      <c r="AQ23" s="1">
        <v>25015</v>
      </c>
      <c r="AR23" s="1">
        <v>23287</v>
      </c>
      <c r="AS23" s="1">
        <v>21667</v>
      </c>
      <c r="AT23" s="1">
        <v>20266</v>
      </c>
      <c r="AU23" s="1">
        <v>18896</v>
      </c>
      <c r="AV23" s="1">
        <v>17557</v>
      </c>
      <c r="AW23" s="1">
        <v>16123</v>
      </c>
      <c r="AX23" s="1">
        <v>14748</v>
      </c>
      <c r="AY23" s="1">
        <v>13556</v>
      </c>
      <c r="AZ23" s="1">
        <v>12424</v>
      </c>
      <c r="BA23" s="1">
        <v>11361</v>
      </c>
      <c r="BB23" s="1">
        <v>10219</v>
      </c>
      <c r="BC23" s="1">
        <v>9139</v>
      </c>
      <c r="BD23" s="1">
        <v>8250</v>
      </c>
      <c r="BE23" s="1">
        <v>7405</v>
      </c>
      <c r="BF23" s="1">
        <v>6606</v>
      </c>
      <c r="BG23" s="1">
        <v>5734</v>
      </c>
      <c r="BH23" s="1">
        <v>4924</v>
      </c>
      <c r="BI23" s="1">
        <v>4269</v>
      </c>
      <c r="BJ23" s="1">
        <v>3650</v>
      </c>
      <c r="BK23" s="1">
        <v>3067</v>
      </c>
      <c r="BL23" s="1">
        <v>15139</v>
      </c>
    </row>
    <row r="24" spans="1:64" x14ac:dyDescent="0.25">
      <c r="A24" s="23"/>
      <c r="B24" s="1" t="s">
        <v>22</v>
      </c>
      <c r="C24" s="1">
        <v>45245</v>
      </c>
      <c r="D24" s="1">
        <v>42325</v>
      </c>
      <c r="E24" s="1">
        <v>39656</v>
      </c>
      <c r="F24" s="1">
        <v>37169</v>
      </c>
      <c r="G24" s="1">
        <v>34921</v>
      </c>
      <c r="H24" s="1">
        <v>32844</v>
      </c>
      <c r="I24" s="1">
        <v>30872</v>
      </c>
      <c r="J24" s="1">
        <v>29095</v>
      </c>
      <c r="K24" s="1">
        <v>27553</v>
      </c>
      <c r="L24" s="1">
        <v>26001</v>
      </c>
      <c r="M24" s="1">
        <v>24181</v>
      </c>
      <c r="N24" s="1">
        <v>22162</v>
      </c>
      <c r="O24" s="1">
        <v>20473</v>
      </c>
      <c r="P24" s="1">
        <v>19030</v>
      </c>
      <c r="Q24" s="1">
        <v>17640</v>
      </c>
      <c r="R24" s="1">
        <v>16144</v>
      </c>
      <c r="S24" s="1">
        <v>14576</v>
      </c>
      <c r="T24" s="1">
        <v>13232</v>
      </c>
      <c r="U24" s="1">
        <v>12089</v>
      </c>
      <c r="V24" s="1">
        <v>10996</v>
      </c>
      <c r="W24" s="1">
        <v>9786</v>
      </c>
      <c r="X24" s="1">
        <v>8523</v>
      </c>
      <c r="Y24" s="1">
        <v>7487</v>
      </c>
      <c r="Z24" s="1">
        <v>6652</v>
      </c>
      <c r="AA24" s="1">
        <v>5860</v>
      </c>
      <c r="AB24" s="1">
        <v>5013</v>
      </c>
      <c r="AC24" s="1">
        <v>4141</v>
      </c>
      <c r="AD24" s="1">
        <v>3465</v>
      </c>
      <c r="AE24" s="1">
        <v>2932</v>
      </c>
      <c r="AF24" s="1">
        <v>2463</v>
      </c>
      <c r="AG24" s="7">
        <v>10178</v>
      </c>
      <c r="AH24" s="1">
        <v>44445</v>
      </c>
      <c r="AI24" s="1">
        <v>41572</v>
      </c>
      <c r="AJ24" s="1">
        <v>38882</v>
      </c>
      <c r="AK24" s="1">
        <v>36314</v>
      </c>
      <c r="AL24" s="1">
        <v>34049</v>
      </c>
      <c r="AM24" s="1">
        <v>32121</v>
      </c>
      <c r="AN24" s="1">
        <v>30411</v>
      </c>
      <c r="AO24" s="1">
        <v>28842</v>
      </c>
      <c r="AP24" s="1">
        <v>27449</v>
      </c>
      <c r="AQ24" s="1">
        <v>26041</v>
      </c>
      <c r="AR24" s="1">
        <v>24382</v>
      </c>
      <c r="AS24" s="1">
        <v>22561</v>
      </c>
      <c r="AT24" s="1">
        <v>20991</v>
      </c>
      <c r="AU24" s="1">
        <v>19634</v>
      </c>
      <c r="AV24" s="1">
        <v>18304</v>
      </c>
      <c r="AW24" s="1">
        <v>16867</v>
      </c>
      <c r="AX24" s="1">
        <v>15350</v>
      </c>
      <c r="AY24" s="1">
        <v>14045</v>
      </c>
      <c r="AZ24" s="1">
        <v>12908</v>
      </c>
      <c r="BA24" s="1">
        <v>11833</v>
      </c>
      <c r="BB24" s="1">
        <v>10673</v>
      </c>
      <c r="BC24" s="1">
        <v>9465</v>
      </c>
      <c r="BD24" s="1">
        <v>8465</v>
      </c>
      <c r="BE24" s="1">
        <v>7645</v>
      </c>
      <c r="BF24" s="1">
        <v>6865</v>
      </c>
      <c r="BG24" s="1">
        <v>6012</v>
      </c>
      <c r="BH24" s="1">
        <v>5116</v>
      </c>
      <c r="BI24" s="1">
        <v>4391</v>
      </c>
      <c r="BJ24" s="1">
        <v>3807</v>
      </c>
      <c r="BK24" s="1">
        <v>3255</v>
      </c>
      <c r="BL24" s="1">
        <v>15152</v>
      </c>
    </row>
    <row r="25" spans="1:64" x14ac:dyDescent="0.25">
      <c r="A25" s="23"/>
      <c r="B25" s="1" t="s">
        <v>23</v>
      </c>
      <c r="C25" s="1">
        <v>47296</v>
      </c>
      <c r="D25" s="1">
        <v>44368</v>
      </c>
      <c r="E25" s="1">
        <v>41504</v>
      </c>
      <c r="F25" s="1">
        <v>38886</v>
      </c>
      <c r="G25" s="1">
        <v>36448</v>
      </c>
      <c r="H25" s="1">
        <v>34097</v>
      </c>
      <c r="I25" s="1">
        <v>31923</v>
      </c>
      <c r="J25" s="1">
        <v>30005</v>
      </c>
      <c r="K25" s="1">
        <v>28279</v>
      </c>
      <c r="L25" s="1">
        <v>26779</v>
      </c>
      <c r="M25" s="1">
        <v>25063</v>
      </c>
      <c r="N25" s="1">
        <v>23102</v>
      </c>
      <c r="O25" s="1">
        <v>21176</v>
      </c>
      <c r="P25" s="1">
        <v>19557</v>
      </c>
      <c r="Q25" s="1">
        <v>18182</v>
      </c>
      <c r="R25" s="1">
        <v>16693</v>
      </c>
      <c r="S25" s="1">
        <v>15120</v>
      </c>
      <c r="T25" s="1">
        <v>13654</v>
      </c>
      <c r="U25" s="1">
        <v>12392</v>
      </c>
      <c r="V25" s="1">
        <v>11324</v>
      </c>
      <c r="W25" s="1">
        <v>10141</v>
      </c>
      <c r="X25" s="1">
        <v>8871</v>
      </c>
      <c r="Y25" s="1">
        <v>7729</v>
      </c>
      <c r="Z25" s="1">
        <v>6790</v>
      </c>
      <c r="AA25" s="1">
        <v>6034</v>
      </c>
      <c r="AB25" s="1">
        <v>5200</v>
      </c>
      <c r="AC25" s="1">
        <v>4341</v>
      </c>
      <c r="AD25" s="1">
        <v>3586</v>
      </c>
      <c r="AE25" s="1">
        <v>2998</v>
      </c>
      <c r="AF25" s="1">
        <v>2541</v>
      </c>
      <c r="AG25" s="7">
        <v>10364</v>
      </c>
      <c r="AH25" s="1">
        <v>46703</v>
      </c>
      <c r="AI25" s="1">
        <v>43852</v>
      </c>
      <c r="AJ25" s="1">
        <v>41015</v>
      </c>
      <c r="AK25" s="1">
        <v>38361</v>
      </c>
      <c r="AL25" s="1">
        <v>35827</v>
      </c>
      <c r="AM25" s="1">
        <v>33497</v>
      </c>
      <c r="AN25" s="1">
        <v>31507</v>
      </c>
      <c r="AO25" s="1">
        <v>29830</v>
      </c>
      <c r="AP25" s="1">
        <v>28292</v>
      </c>
      <c r="AQ25" s="1">
        <v>26927</v>
      </c>
      <c r="AR25" s="1">
        <v>25395</v>
      </c>
      <c r="AS25" s="1">
        <v>23633</v>
      </c>
      <c r="AT25" s="1">
        <v>21868</v>
      </c>
      <c r="AU25" s="1">
        <v>20347</v>
      </c>
      <c r="AV25" s="1">
        <v>19030</v>
      </c>
      <c r="AW25" s="1">
        <v>17596</v>
      </c>
      <c r="AX25" s="1">
        <v>16072</v>
      </c>
      <c r="AY25" s="1">
        <v>14628</v>
      </c>
      <c r="AZ25" s="1">
        <v>13386</v>
      </c>
      <c r="BA25" s="1">
        <v>12301</v>
      </c>
      <c r="BB25" s="1">
        <v>11128</v>
      </c>
      <c r="BC25" s="1">
        <v>9896</v>
      </c>
      <c r="BD25" s="1">
        <v>8778</v>
      </c>
      <c r="BE25" s="1">
        <v>7854</v>
      </c>
      <c r="BF25" s="1">
        <v>7096</v>
      </c>
      <c r="BG25" s="1">
        <v>6256</v>
      </c>
      <c r="BH25" s="1">
        <v>5372</v>
      </c>
      <c r="BI25" s="1">
        <v>4572</v>
      </c>
      <c r="BJ25" s="1">
        <v>3923</v>
      </c>
      <c r="BK25" s="1">
        <v>3401</v>
      </c>
      <c r="BL25" s="1">
        <v>15356</v>
      </c>
    </row>
    <row r="26" spans="1:64" x14ac:dyDescent="0.25">
      <c r="A26" s="23"/>
      <c r="B26" s="1" t="s">
        <v>24</v>
      </c>
      <c r="C26" s="1">
        <v>49276</v>
      </c>
      <c r="D26" s="1">
        <v>46390</v>
      </c>
      <c r="E26" s="1">
        <v>43513</v>
      </c>
      <c r="F26" s="1">
        <v>40707</v>
      </c>
      <c r="G26" s="1">
        <v>38139</v>
      </c>
      <c r="H26" s="1">
        <v>35595</v>
      </c>
      <c r="I26" s="1">
        <v>33152</v>
      </c>
      <c r="J26" s="1">
        <v>31037</v>
      </c>
      <c r="K26" s="1">
        <v>29169</v>
      </c>
      <c r="L26" s="1">
        <v>27494</v>
      </c>
      <c r="M26" s="1">
        <v>25819</v>
      </c>
      <c r="N26" s="1">
        <v>23957</v>
      </c>
      <c r="O26" s="1">
        <v>22082</v>
      </c>
      <c r="P26" s="1">
        <v>20240</v>
      </c>
      <c r="Q26" s="1">
        <v>18692</v>
      </c>
      <c r="R26" s="1">
        <v>17214</v>
      </c>
      <c r="S26" s="1">
        <v>15643</v>
      </c>
      <c r="T26" s="1">
        <v>14170</v>
      </c>
      <c r="U26" s="1">
        <v>12797</v>
      </c>
      <c r="V26" s="1">
        <v>11611</v>
      </c>
      <c r="W26" s="1">
        <v>10451</v>
      </c>
      <c r="X26" s="1">
        <v>9202</v>
      </c>
      <c r="Y26" s="1">
        <v>8051</v>
      </c>
      <c r="Z26" s="1">
        <v>7016</v>
      </c>
      <c r="AA26" s="1">
        <v>6162</v>
      </c>
      <c r="AB26" s="1">
        <v>5361</v>
      </c>
      <c r="AC26" s="1">
        <v>4506</v>
      </c>
      <c r="AD26" s="1">
        <v>3765</v>
      </c>
      <c r="AE26" s="1">
        <v>3107</v>
      </c>
      <c r="AF26" s="1">
        <v>2598</v>
      </c>
      <c r="AG26" s="7">
        <v>10593</v>
      </c>
      <c r="AH26" s="1">
        <v>48832</v>
      </c>
      <c r="AI26" s="1">
        <v>46090</v>
      </c>
      <c r="AJ26" s="1">
        <v>43277</v>
      </c>
      <c r="AK26" s="1">
        <v>40477</v>
      </c>
      <c r="AL26" s="1">
        <v>37855</v>
      </c>
      <c r="AM26" s="1">
        <v>35254</v>
      </c>
      <c r="AN26" s="1">
        <v>32867</v>
      </c>
      <c r="AO26" s="1">
        <v>30916</v>
      </c>
      <c r="AP26" s="1">
        <v>29270</v>
      </c>
      <c r="AQ26" s="1">
        <v>27762</v>
      </c>
      <c r="AR26" s="1">
        <v>26269</v>
      </c>
      <c r="AS26" s="1">
        <v>24625</v>
      </c>
      <c r="AT26" s="1">
        <v>22920</v>
      </c>
      <c r="AU26" s="1">
        <v>21208</v>
      </c>
      <c r="AV26" s="1">
        <v>19732</v>
      </c>
      <c r="AW26" s="1">
        <v>18304</v>
      </c>
      <c r="AX26" s="1">
        <v>16782</v>
      </c>
      <c r="AY26" s="1">
        <v>15327</v>
      </c>
      <c r="AZ26" s="1">
        <v>13951</v>
      </c>
      <c r="BA26" s="1">
        <v>12768</v>
      </c>
      <c r="BB26" s="1">
        <v>11579</v>
      </c>
      <c r="BC26" s="1">
        <v>10332</v>
      </c>
      <c r="BD26" s="1">
        <v>9186</v>
      </c>
      <c r="BE26" s="1">
        <v>8151</v>
      </c>
      <c r="BF26" s="1">
        <v>7299</v>
      </c>
      <c r="BG26" s="1">
        <v>6476</v>
      </c>
      <c r="BH26" s="1">
        <v>5599</v>
      </c>
      <c r="BI26" s="1">
        <v>4808</v>
      </c>
      <c r="BJ26" s="1">
        <v>4093</v>
      </c>
      <c r="BK26" s="1">
        <v>3511</v>
      </c>
      <c r="BL26" s="1">
        <v>15681</v>
      </c>
    </row>
    <row r="27" spans="1:64" x14ac:dyDescent="0.25">
      <c r="A27" s="23"/>
      <c r="B27" s="1" t="s">
        <v>25</v>
      </c>
      <c r="C27" s="1">
        <v>51208</v>
      </c>
      <c r="D27" s="1">
        <v>48337</v>
      </c>
      <c r="E27" s="1">
        <v>45509</v>
      </c>
      <c r="F27" s="1">
        <v>42685</v>
      </c>
      <c r="G27" s="1">
        <v>39934</v>
      </c>
      <c r="H27" s="1">
        <v>37254</v>
      </c>
      <c r="I27" s="1">
        <v>34618</v>
      </c>
      <c r="J27" s="1">
        <v>32240</v>
      </c>
      <c r="K27" s="1">
        <v>30183</v>
      </c>
      <c r="L27" s="1">
        <v>28366</v>
      </c>
      <c r="M27" s="1">
        <v>26517</v>
      </c>
      <c r="N27" s="1">
        <v>24691</v>
      </c>
      <c r="O27" s="1">
        <v>22908</v>
      </c>
      <c r="P27" s="1">
        <v>21112</v>
      </c>
      <c r="Q27" s="1">
        <v>19353</v>
      </c>
      <c r="R27" s="1">
        <v>17705</v>
      </c>
      <c r="S27" s="1">
        <v>16143</v>
      </c>
      <c r="T27" s="1">
        <v>14668</v>
      </c>
      <c r="U27" s="1">
        <v>13288</v>
      </c>
      <c r="V27" s="1">
        <v>11998</v>
      </c>
      <c r="W27" s="1">
        <v>10720</v>
      </c>
      <c r="X27" s="1">
        <v>9491</v>
      </c>
      <c r="Y27" s="1">
        <v>8357</v>
      </c>
      <c r="Z27" s="1">
        <v>7313</v>
      </c>
      <c r="AA27" s="1">
        <v>6375</v>
      </c>
      <c r="AB27" s="1">
        <v>5477</v>
      </c>
      <c r="AC27" s="1">
        <v>4654</v>
      </c>
      <c r="AD27" s="1">
        <v>3909</v>
      </c>
      <c r="AE27" s="1">
        <v>3267</v>
      </c>
      <c r="AF27" s="1">
        <v>2695</v>
      </c>
      <c r="AG27" s="7">
        <v>10840</v>
      </c>
      <c r="AH27" s="1">
        <v>50882</v>
      </c>
      <c r="AI27" s="1">
        <v>48206</v>
      </c>
      <c r="AJ27" s="1">
        <v>45495</v>
      </c>
      <c r="AK27" s="1">
        <v>42720</v>
      </c>
      <c r="AL27" s="1">
        <v>39955</v>
      </c>
      <c r="AM27" s="1">
        <v>37261</v>
      </c>
      <c r="AN27" s="1">
        <v>34600</v>
      </c>
      <c r="AO27" s="1">
        <v>32258</v>
      </c>
      <c r="AP27" s="1">
        <v>30345</v>
      </c>
      <c r="AQ27" s="1">
        <v>28732</v>
      </c>
      <c r="AR27" s="1">
        <v>27094</v>
      </c>
      <c r="AS27" s="1">
        <v>25488</v>
      </c>
      <c r="AT27" s="1">
        <v>23894</v>
      </c>
      <c r="AU27" s="1">
        <v>22239</v>
      </c>
      <c r="AV27" s="1">
        <v>20577</v>
      </c>
      <c r="AW27" s="1">
        <v>18992</v>
      </c>
      <c r="AX27" s="1">
        <v>17468</v>
      </c>
      <c r="AY27" s="1">
        <v>16017</v>
      </c>
      <c r="AZ27" s="1">
        <v>14628</v>
      </c>
      <c r="BA27" s="1">
        <v>13315</v>
      </c>
      <c r="BB27" s="1">
        <v>12030</v>
      </c>
      <c r="BC27" s="1">
        <v>10762</v>
      </c>
      <c r="BD27" s="1">
        <v>9603</v>
      </c>
      <c r="BE27" s="1">
        <v>8540</v>
      </c>
      <c r="BF27" s="1">
        <v>7581</v>
      </c>
      <c r="BG27" s="1">
        <v>6671</v>
      </c>
      <c r="BH27" s="1">
        <v>5804</v>
      </c>
      <c r="BI27" s="1">
        <v>5021</v>
      </c>
      <c r="BJ27" s="1">
        <v>4309</v>
      </c>
      <c r="BK27" s="1">
        <v>3672</v>
      </c>
      <c r="BL27" s="1">
        <v>16075</v>
      </c>
    </row>
    <row r="28" spans="1:64" x14ac:dyDescent="0.25">
      <c r="A28" s="23"/>
      <c r="B28" s="1" t="s">
        <v>26</v>
      </c>
      <c r="C28" s="1">
        <v>53289</v>
      </c>
      <c r="D28" s="1">
        <v>50245</v>
      </c>
      <c r="E28" s="1">
        <v>47428</v>
      </c>
      <c r="F28" s="1">
        <v>44652</v>
      </c>
      <c r="G28" s="1">
        <v>41881</v>
      </c>
      <c r="H28" s="1">
        <v>39018</v>
      </c>
      <c r="I28" s="1">
        <v>36241</v>
      </c>
      <c r="J28" s="1">
        <v>33676</v>
      </c>
      <c r="K28" s="1">
        <v>31362</v>
      </c>
      <c r="L28" s="1">
        <v>29360</v>
      </c>
      <c r="M28" s="1">
        <v>27370</v>
      </c>
      <c r="N28" s="1">
        <v>25366</v>
      </c>
      <c r="O28" s="1">
        <v>23619</v>
      </c>
      <c r="P28" s="1">
        <v>21913</v>
      </c>
      <c r="Q28" s="1">
        <v>20196</v>
      </c>
      <c r="R28" s="1">
        <v>18340</v>
      </c>
      <c r="S28" s="1">
        <v>16609</v>
      </c>
      <c r="T28" s="1">
        <v>15143</v>
      </c>
      <c r="U28" s="1">
        <v>13765</v>
      </c>
      <c r="V28" s="1">
        <v>12466</v>
      </c>
      <c r="W28" s="1">
        <v>11085</v>
      </c>
      <c r="X28" s="1">
        <v>9743</v>
      </c>
      <c r="Y28" s="1">
        <v>8625</v>
      </c>
      <c r="Z28" s="1">
        <v>7594</v>
      </c>
      <c r="AA28" s="1">
        <v>6649</v>
      </c>
      <c r="AB28" s="1">
        <v>5674</v>
      </c>
      <c r="AC28" s="1">
        <v>4757</v>
      </c>
      <c r="AD28" s="1">
        <v>4045</v>
      </c>
      <c r="AE28" s="1">
        <v>3394</v>
      </c>
      <c r="AF28" s="1">
        <v>2838</v>
      </c>
      <c r="AG28" s="7">
        <v>11133</v>
      </c>
      <c r="AH28" s="1">
        <v>53089</v>
      </c>
      <c r="AI28" s="1">
        <v>50239</v>
      </c>
      <c r="AJ28" s="1">
        <v>47600</v>
      </c>
      <c r="AK28" s="1">
        <v>44920</v>
      </c>
      <c r="AL28" s="1">
        <v>42183</v>
      </c>
      <c r="AM28" s="1">
        <v>39339</v>
      </c>
      <c r="AN28" s="1">
        <v>36581</v>
      </c>
      <c r="AO28" s="1">
        <v>33972</v>
      </c>
      <c r="AP28" s="1">
        <v>31671</v>
      </c>
      <c r="AQ28" s="1">
        <v>29793</v>
      </c>
      <c r="AR28" s="1">
        <v>28053</v>
      </c>
      <c r="AS28" s="1">
        <v>26300</v>
      </c>
      <c r="AT28" s="1">
        <v>24745</v>
      </c>
      <c r="AU28" s="1">
        <v>23195</v>
      </c>
      <c r="AV28" s="1">
        <v>21588</v>
      </c>
      <c r="AW28" s="1">
        <v>19818</v>
      </c>
      <c r="AX28" s="1">
        <v>18138</v>
      </c>
      <c r="AY28" s="1">
        <v>16683</v>
      </c>
      <c r="AZ28" s="1">
        <v>15300</v>
      </c>
      <c r="BA28" s="1">
        <v>13972</v>
      </c>
      <c r="BB28" s="1">
        <v>12554</v>
      </c>
      <c r="BC28" s="1">
        <v>11192</v>
      </c>
      <c r="BD28" s="1">
        <v>10015</v>
      </c>
      <c r="BE28" s="1">
        <v>8936</v>
      </c>
      <c r="BF28" s="1">
        <v>7951</v>
      </c>
      <c r="BG28" s="1">
        <v>6937</v>
      </c>
      <c r="BH28" s="1">
        <v>5987</v>
      </c>
      <c r="BI28" s="1">
        <v>5212</v>
      </c>
      <c r="BJ28" s="1">
        <v>4508</v>
      </c>
      <c r="BK28" s="1">
        <v>3870</v>
      </c>
      <c r="BL28" s="1">
        <v>16571</v>
      </c>
    </row>
    <row r="29" spans="1:64" x14ac:dyDescent="0.25">
      <c r="A29" s="23"/>
      <c r="B29" s="1" t="s">
        <v>27</v>
      </c>
      <c r="C29" s="1">
        <v>55506</v>
      </c>
      <c r="D29" s="1">
        <v>52302</v>
      </c>
      <c r="E29" s="1">
        <v>49314</v>
      </c>
      <c r="F29" s="1">
        <v>46548</v>
      </c>
      <c r="G29" s="1">
        <v>43827</v>
      </c>
      <c r="H29" s="1">
        <v>40934</v>
      </c>
      <c r="I29" s="1">
        <v>37970</v>
      </c>
      <c r="J29" s="1">
        <v>35267</v>
      </c>
      <c r="K29" s="1">
        <v>32773</v>
      </c>
      <c r="L29" s="1">
        <v>30519</v>
      </c>
      <c r="M29" s="1">
        <v>28338</v>
      </c>
      <c r="N29" s="1">
        <v>26192</v>
      </c>
      <c r="O29" s="1">
        <v>24274</v>
      </c>
      <c r="P29" s="1">
        <v>22602</v>
      </c>
      <c r="Q29" s="1">
        <v>20971</v>
      </c>
      <c r="R29" s="1">
        <v>19148</v>
      </c>
      <c r="S29" s="1">
        <v>17213</v>
      </c>
      <c r="T29" s="1">
        <v>15592</v>
      </c>
      <c r="U29" s="1">
        <v>14217</v>
      </c>
      <c r="V29" s="1">
        <v>12921</v>
      </c>
      <c r="W29" s="1">
        <v>11526</v>
      </c>
      <c r="X29" s="1">
        <v>10080</v>
      </c>
      <c r="Y29" s="1">
        <v>8862</v>
      </c>
      <c r="Z29" s="1">
        <v>7843</v>
      </c>
      <c r="AA29" s="1">
        <v>6910</v>
      </c>
      <c r="AB29" s="1">
        <v>5921</v>
      </c>
      <c r="AC29" s="1">
        <v>4935</v>
      </c>
      <c r="AD29" s="1">
        <v>4137</v>
      </c>
      <c r="AE29" s="1">
        <v>3518</v>
      </c>
      <c r="AF29" s="1">
        <v>2952</v>
      </c>
      <c r="AG29" s="7">
        <v>11502</v>
      </c>
      <c r="AH29" s="1">
        <v>55446</v>
      </c>
      <c r="AI29" s="1">
        <v>52443</v>
      </c>
      <c r="AJ29" s="1">
        <v>49630</v>
      </c>
      <c r="AK29" s="1">
        <v>47020</v>
      </c>
      <c r="AL29" s="1">
        <v>44377</v>
      </c>
      <c r="AM29" s="1">
        <v>41550</v>
      </c>
      <c r="AN29" s="1">
        <v>38640</v>
      </c>
      <c r="AO29" s="1">
        <v>35927</v>
      </c>
      <c r="AP29" s="1">
        <v>33372</v>
      </c>
      <c r="AQ29" s="1">
        <v>31113</v>
      </c>
      <c r="AR29" s="1">
        <v>29102</v>
      </c>
      <c r="AS29" s="1">
        <v>27250</v>
      </c>
      <c r="AT29" s="1">
        <v>25549</v>
      </c>
      <c r="AU29" s="1">
        <v>24037</v>
      </c>
      <c r="AV29" s="1">
        <v>22534</v>
      </c>
      <c r="AW29" s="1">
        <v>20802</v>
      </c>
      <c r="AX29" s="1">
        <v>18943</v>
      </c>
      <c r="AY29" s="1">
        <v>17337</v>
      </c>
      <c r="AZ29" s="1">
        <v>15945</v>
      </c>
      <c r="BA29" s="1">
        <v>14624</v>
      </c>
      <c r="BB29" s="1">
        <v>13187</v>
      </c>
      <c r="BC29" s="1">
        <v>11694</v>
      </c>
      <c r="BD29" s="1">
        <v>10422</v>
      </c>
      <c r="BE29" s="1">
        <v>9332</v>
      </c>
      <c r="BF29" s="1">
        <v>8327</v>
      </c>
      <c r="BG29" s="1">
        <v>7287</v>
      </c>
      <c r="BH29" s="1">
        <v>6236</v>
      </c>
      <c r="BI29" s="1">
        <v>5382</v>
      </c>
      <c r="BJ29" s="1">
        <v>4684</v>
      </c>
      <c r="BK29" s="1">
        <v>4056</v>
      </c>
      <c r="BL29" s="1">
        <v>17187</v>
      </c>
    </row>
    <row r="30" spans="1:64" x14ac:dyDescent="0.25">
      <c r="A30" s="23"/>
      <c r="B30" s="1" t="s">
        <v>28</v>
      </c>
      <c r="C30" s="1">
        <v>57708</v>
      </c>
      <c r="D30" s="1">
        <v>54492</v>
      </c>
      <c r="E30" s="1">
        <v>51347</v>
      </c>
      <c r="F30" s="1">
        <v>48415</v>
      </c>
      <c r="G30" s="1">
        <v>45701</v>
      </c>
      <c r="H30" s="1">
        <v>42850</v>
      </c>
      <c r="I30" s="1">
        <v>39848</v>
      </c>
      <c r="J30" s="1">
        <v>36965</v>
      </c>
      <c r="K30" s="1">
        <v>34334</v>
      </c>
      <c r="L30" s="1">
        <v>31903</v>
      </c>
      <c r="M30" s="1">
        <v>29470</v>
      </c>
      <c r="N30" s="1">
        <v>27129</v>
      </c>
      <c r="O30" s="1">
        <v>25075</v>
      </c>
      <c r="P30" s="1">
        <v>23239</v>
      </c>
      <c r="Q30" s="1">
        <v>21636</v>
      </c>
      <c r="R30" s="1">
        <v>19893</v>
      </c>
      <c r="S30" s="1">
        <v>17982</v>
      </c>
      <c r="T30" s="1">
        <v>16167</v>
      </c>
      <c r="U30" s="1">
        <v>14645</v>
      </c>
      <c r="V30" s="1">
        <v>13355</v>
      </c>
      <c r="W30" s="1">
        <v>11953</v>
      </c>
      <c r="X30" s="1">
        <v>10489</v>
      </c>
      <c r="Y30" s="1">
        <v>9174</v>
      </c>
      <c r="Z30" s="1">
        <v>8066</v>
      </c>
      <c r="AA30" s="1">
        <v>7139</v>
      </c>
      <c r="AB30" s="1">
        <v>6159</v>
      </c>
      <c r="AC30" s="1">
        <v>5154</v>
      </c>
      <c r="AD30" s="1">
        <v>4297</v>
      </c>
      <c r="AE30" s="1">
        <v>3602</v>
      </c>
      <c r="AF30" s="1">
        <v>3063</v>
      </c>
      <c r="AG30" s="7">
        <v>11909</v>
      </c>
      <c r="AH30" s="1">
        <v>57751</v>
      </c>
      <c r="AI30" s="1">
        <v>54795</v>
      </c>
      <c r="AJ30" s="1">
        <v>51829</v>
      </c>
      <c r="AK30" s="1">
        <v>49048</v>
      </c>
      <c r="AL30" s="1">
        <v>46474</v>
      </c>
      <c r="AM30" s="1">
        <v>43732</v>
      </c>
      <c r="AN30" s="1">
        <v>40826</v>
      </c>
      <c r="AO30" s="1">
        <v>37972</v>
      </c>
      <c r="AP30" s="1">
        <v>35304</v>
      </c>
      <c r="AQ30" s="1">
        <v>32798</v>
      </c>
      <c r="AR30" s="1">
        <v>30410</v>
      </c>
      <c r="AS30" s="1">
        <v>28286</v>
      </c>
      <c r="AT30" s="1">
        <v>26488</v>
      </c>
      <c r="AU30" s="1">
        <v>24836</v>
      </c>
      <c r="AV30" s="1">
        <v>23365</v>
      </c>
      <c r="AW30" s="1">
        <v>21732</v>
      </c>
      <c r="AX30" s="1">
        <v>19897</v>
      </c>
      <c r="AY30" s="1">
        <v>18118</v>
      </c>
      <c r="AZ30" s="1">
        <v>16582</v>
      </c>
      <c r="BA30" s="1">
        <v>15252</v>
      </c>
      <c r="BB30" s="1">
        <v>13815</v>
      </c>
      <c r="BC30" s="1">
        <v>12294</v>
      </c>
      <c r="BD30" s="1">
        <v>10907</v>
      </c>
      <c r="BE30" s="1">
        <v>9718</v>
      </c>
      <c r="BF30" s="1">
        <v>8706</v>
      </c>
      <c r="BG30" s="1">
        <v>7639</v>
      </c>
      <c r="BH30" s="1">
        <v>6561</v>
      </c>
      <c r="BI30" s="1">
        <v>5614</v>
      </c>
      <c r="BJ30" s="1">
        <v>4846</v>
      </c>
      <c r="BK30" s="1">
        <v>4217</v>
      </c>
      <c r="BL30" s="1">
        <v>17889</v>
      </c>
    </row>
    <row r="31" spans="1:64" x14ac:dyDescent="0.25">
      <c r="A31" s="23"/>
      <c r="B31" s="1" t="s">
        <v>29</v>
      </c>
      <c r="C31" s="1">
        <v>59819</v>
      </c>
      <c r="D31" s="1">
        <v>56664</v>
      </c>
      <c r="E31" s="1">
        <v>53507</v>
      </c>
      <c r="F31" s="1">
        <v>50419</v>
      </c>
      <c r="G31" s="1">
        <v>47540</v>
      </c>
      <c r="H31" s="1">
        <v>44690</v>
      </c>
      <c r="I31" s="1">
        <v>41726</v>
      </c>
      <c r="J31" s="1">
        <v>38801</v>
      </c>
      <c r="K31" s="1">
        <v>35994</v>
      </c>
      <c r="L31" s="1">
        <v>33432</v>
      </c>
      <c r="M31" s="1">
        <v>30815</v>
      </c>
      <c r="N31" s="1">
        <v>28224</v>
      </c>
      <c r="O31" s="1">
        <v>25981</v>
      </c>
      <c r="P31" s="1">
        <v>24015</v>
      </c>
      <c r="Q31" s="1">
        <v>22256</v>
      </c>
      <c r="R31" s="1">
        <v>20529</v>
      </c>
      <c r="S31" s="1">
        <v>18692</v>
      </c>
      <c r="T31" s="1">
        <v>16899</v>
      </c>
      <c r="U31" s="1">
        <v>15192</v>
      </c>
      <c r="V31" s="1">
        <v>13761</v>
      </c>
      <c r="W31" s="1">
        <v>12363</v>
      </c>
      <c r="X31" s="1">
        <v>10884</v>
      </c>
      <c r="Y31" s="1">
        <v>9552</v>
      </c>
      <c r="Z31" s="1">
        <v>8356</v>
      </c>
      <c r="AA31" s="1">
        <v>7347</v>
      </c>
      <c r="AB31" s="1">
        <v>6368</v>
      </c>
      <c r="AC31" s="1">
        <v>5368</v>
      </c>
      <c r="AD31" s="1">
        <v>4494</v>
      </c>
      <c r="AE31" s="1">
        <v>3742</v>
      </c>
      <c r="AF31" s="1">
        <v>3140</v>
      </c>
      <c r="AG31" s="7">
        <v>12347</v>
      </c>
      <c r="AH31" s="1">
        <v>59891</v>
      </c>
      <c r="AI31" s="1">
        <v>57082</v>
      </c>
      <c r="AJ31" s="1">
        <v>54161</v>
      </c>
      <c r="AK31" s="1">
        <v>51232</v>
      </c>
      <c r="AL31" s="1">
        <v>48480</v>
      </c>
      <c r="AM31" s="1">
        <v>45812</v>
      </c>
      <c r="AN31" s="1">
        <v>42979</v>
      </c>
      <c r="AO31" s="1">
        <v>40128</v>
      </c>
      <c r="AP31" s="1">
        <v>37324</v>
      </c>
      <c r="AQ31" s="1">
        <v>34701</v>
      </c>
      <c r="AR31" s="1">
        <v>32068</v>
      </c>
      <c r="AS31" s="1">
        <v>29567</v>
      </c>
      <c r="AT31" s="1">
        <v>27506</v>
      </c>
      <c r="AU31" s="1">
        <v>25758</v>
      </c>
      <c r="AV31" s="1">
        <v>24152</v>
      </c>
      <c r="AW31" s="1">
        <v>22545</v>
      </c>
      <c r="AX31" s="1">
        <v>20798</v>
      </c>
      <c r="AY31" s="1">
        <v>19043</v>
      </c>
      <c r="AZ31" s="1">
        <v>17339</v>
      </c>
      <c r="BA31" s="1">
        <v>15871</v>
      </c>
      <c r="BB31" s="1">
        <v>14420</v>
      </c>
      <c r="BC31" s="1">
        <v>12891</v>
      </c>
      <c r="BD31" s="1">
        <v>11471</v>
      </c>
      <c r="BE31" s="1">
        <v>10184</v>
      </c>
      <c r="BF31" s="1">
        <v>9073</v>
      </c>
      <c r="BG31" s="1">
        <v>7996</v>
      </c>
      <c r="BH31" s="1">
        <v>6886</v>
      </c>
      <c r="BI31" s="1">
        <v>5914</v>
      </c>
      <c r="BJ31" s="1">
        <v>5063</v>
      </c>
      <c r="BK31" s="1">
        <v>4370</v>
      </c>
      <c r="BL31" s="1">
        <v>18642</v>
      </c>
    </row>
    <row r="32" spans="1:64" x14ac:dyDescent="0.25">
      <c r="A32" s="23"/>
      <c r="B32" s="1" t="s">
        <v>30</v>
      </c>
      <c r="C32" s="1">
        <v>61871</v>
      </c>
      <c r="D32" s="1">
        <v>58742</v>
      </c>
      <c r="E32" s="1">
        <v>55645</v>
      </c>
      <c r="F32" s="1">
        <v>52546</v>
      </c>
      <c r="G32" s="1">
        <v>49512</v>
      </c>
      <c r="H32" s="1">
        <v>46497</v>
      </c>
      <c r="I32" s="1">
        <v>43523</v>
      </c>
      <c r="J32" s="1">
        <v>40638</v>
      </c>
      <c r="K32" s="1">
        <v>37791</v>
      </c>
      <c r="L32" s="1">
        <v>35055</v>
      </c>
      <c r="M32" s="1">
        <v>32299</v>
      </c>
      <c r="N32" s="1">
        <v>29524</v>
      </c>
      <c r="O32" s="1">
        <v>27041</v>
      </c>
      <c r="P32" s="1">
        <v>24889</v>
      </c>
      <c r="Q32" s="1">
        <v>23011</v>
      </c>
      <c r="R32" s="1">
        <v>21127</v>
      </c>
      <c r="S32" s="1">
        <v>19297</v>
      </c>
      <c r="T32" s="1">
        <v>17572</v>
      </c>
      <c r="U32" s="1">
        <v>15886</v>
      </c>
      <c r="V32" s="1">
        <v>14282</v>
      </c>
      <c r="W32" s="1">
        <v>12747</v>
      </c>
      <c r="X32" s="1">
        <v>11264</v>
      </c>
      <c r="Y32" s="1">
        <v>9919</v>
      </c>
      <c r="Z32" s="1">
        <v>8704</v>
      </c>
      <c r="AA32" s="1">
        <v>7619</v>
      </c>
      <c r="AB32" s="1">
        <v>6557</v>
      </c>
      <c r="AC32" s="1">
        <v>5555</v>
      </c>
      <c r="AD32" s="1">
        <v>4684</v>
      </c>
      <c r="AE32" s="1">
        <v>3920</v>
      </c>
      <c r="AF32" s="1">
        <v>3263</v>
      </c>
      <c r="AG32" s="7">
        <v>12782</v>
      </c>
      <c r="AH32" s="1">
        <v>61985</v>
      </c>
      <c r="AI32" s="1">
        <v>59203</v>
      </c>
      <c r="AJ32" s="1">
        <v>56426</v>
      </c>
      <c r="AK32" s="1">
        <v>53537</v>
      </c>
      <c r="AL32" s="1">
        <v>50645</v>
      </c>
      <c r="AM32" s="1">
        <v>47790</v>
      </c>
      <c r="AN32" s="1">
        <v>45035</v>
      </c>
      <c r="AO32" s="1">
        <v>42247</v>
      </c>
      <c r="AP32" s="1">
        <v>39447</v>
      </c>
      <c r="AQ32" s="1">
        <v>36693</v>
      </c>
      <c r="AR32" s="1">
        <v>33934</v>
      </c>
      <c r="AS32" s="1">
        <v>31188</v>
      </c>
      <c r="AT32" s="1">
        <v>28758</v>
      </c>
      <c r="AU32" s="1">
        <v>26755</v>
      </c>
      <c r="AV32" s="1">
        <v>25055</v>
      </c>
      <c r="AW32" s="1">
        <v>23314</v>
      </c>
      <c r="AX32" s="1">
        <v>21589</v>
      </c>
      <c r="AY32" s="1">
        <v>19915</v>
      </c>
      <c r="AZ32" s="1">
        <v>18238</v>
      </c>
      <c r="BA32" s="1">
        <v>16603</v>
      </c>
      <c r="BB32" s="1">
        <v>15014</v>
      </c>
      <c r="BC32" s="1">
        <v>13467</v>
      </c>
      <c r="BD32" s="1">
        <v>12040</v>
      </c>
      <c r="BE32" s="1">
        <v>10718</v>
      </c>
      <c r="BF32" s="1">
        <v>9517</v>
      </c>
      <c r="BG32" s="1">
        <v>8340</v>
      </c>
      <c r="BH32" s="1">
        <v>7217</v>
      </c>
      <c r="BI32" s="1">
        <v>6216</v>
      </c>
      <c r="BJ32" s="1">
        <v>5340</v>
      </c>
      <c r="BK32" s="1">
        <v>4571</v>
      </c>
      <c r="BL32" s="1">
        <v>19434</v>
      </c>
    </row>
    <row r="33" spans="1:64" x14ac:dyDescent="0.25">
      <c r="A33" s="23"/>
      <c r="B33" s="1" t="s">
        <v>31</v>
      </c>
      <c r="C33" s="1">
        <v>64017</v>
      </c>
      <c r="D33" s="1">
        <v>60765</v>
      </c>
      <c r="E33" s="1">
        <v>57691</v>
      </c>
      <c r="F33" s="1">
        <v>54652</v>
      </c>
      <c r="G33" s="1">
        <v>51607</v>
      </c>
      <c r="H33" s="1">
        <v>48431</v>
      </c>
      <c r="I33" s="1">
        <v>45292</v>
      </c>
      <c r="J33" s="1">
        <v>42397</v>
      </c>
      <c r="K33" s="1">
        <v>39586</v>
      </c>
      <c r="L33" s="1">
        <v>36811</v>
      </c>
      <c r="M33" s="1">
        <v>33877</v>
      </c>
      <c r="N33" s="1">
        <v>30958</v>
      </c>
      <c r="O33" s="1">
        <v>28297</v>
      </c>
      <c r="P33" s="1">
        <v>25915</v>
      </c>
      <c r="Q33" s="1">
        <v>23854</v>
      </c>
      <c r="R33" s="1">
        <v>21854</v>
      </c>
      <c r="S33" s="1">
        <v>19869</v>
      </c>
      <c r="T33" s="1">
        <v>18148</v>
      </c>
      <c r="U33" s="1">
        <v>16527</v>
      </c>
      <c r="V33" s="1">
        <v>14940</v>
      </c>
      <c r="W33" s="1">
        <v>13235</v>
      </c>
      <c r="X33" s="1">
        <v>11623</v>
      </c>
      <c r="Y33" s="1">
        <v>10272</v>
      </c>
      <c r="Z33" s="1">
        <v>9045</v>
      </c>
      <c r="AA33" s="1">
        <v>7940</v>
      </c>
      <c r="AB33" s="1">
        <v>6808</v>
      </c>
      <c r="AC33" s="1">
        <v>5723</v>
      </c>
      <c r="AD33" s="1">
        <v>4850</v>
      </c>
      <c r="AE33" s="1">
        <v>4089</v>
      </c>
      <c r="AF33" s="1">
        <v>3423</v>
      </c>
      <c r="AG33" s="7">
        <v>13252</v>
      </c>
      <c r="AH33" s="1">
        <v>64152</v>
      </c>
      <c r="AI33" s="1">
        <v>61276</v>
      </c>
      <c r="AJ33" s="1">
        <v>58527</v>
      </c>
      <c r="AK33" s="1">
        <v>55779</v>
      </c>
      <c r="AL33" s="1">
        <v>52925</v>
      </c>
      <c r="AM33" s="1">
        <v>49931</v>
      </c>
      <c r="AN33" s="1">
        <v>46983</v>
      </c>
      <c r="AO33" s="1">
        <v>44275</v>
      </c>
      <c r="AP33" s="1">
        <v>41538</v>
      </c>
      <c r="AQ33" s="1">
        <v>38785</v>
      </c>
      <c r="AR33" s="1">
        <v>35886</v>
      </c>
      <c r="AS33" s="1">
        <v>33015</v>
      </c>
      <c r="AT33" s="1">
        <v>30342</v>
      </c>
      <c r="AU33" s="1">
        <v>27979</v>
      </c>
      <c r="AV33" s="1">
        <v>26032</v>
      </c>
      <c r="AW33" s="1">
        <v>24195</v>
      </c>
      <c r="AX33" s="1">
        <v>22338</v>
      </c>
      <c r="AY33" s="1">
        <v>20686</v>
      </c>
      <c r="AZ33" s="1">
        <v>19078</v>
      </c>
      <c r="BA33" s="1">
        <v>17475</v>
      </c>
      <c r="BB33" s="1">
        <v>15717</v>
      </c>
      <c r="BC33" s="1">
        <v>14033</v>
      </c>
      <c r="BD33" s="1">
        <v>12590</v>
      </c>
      <c r="BE33" s="1">
        <v>11255</v>
      </c>
      <c r="BF33" s="1">
        <v>10024</v>
      </c>
      <c r="BG33" s="1">
        <v>8757</v>
      </c>
      <c r="BH33" s="1">
        <v>7537</v>
      </c>
      <c r="BI33" s="1">
        <v>6522</v>
      </c>
      <c r="BJ33" s="1">
        <v>5619</v>
      </c>
      <c r="BK33" s="1">
        <v>4826</v>
      </c>
      <c r="BL33" s="1">
        <v>20303</v>
      </c>
    </row>
    <row r="34" spans="1:64" x14ac:dyDescent="0.25">
      <c r="A34" s="23"/>
      <c r="B34" s="1" t="s">
        <v>32</v>
      </c>
      <c r="C34" s="1">
        <v>66218</v>
      </c>
      <c r="D34" s="1">
        <v>62879</v>
      </c>
      <c r="E34" s="1">
        <v>59686</v>
      </c>
      <c r="F34" s="1">
        <v>56668</v>
      </c>
      <c r="G34" s="1">
        <v>53679</v>
      </c>
      <c r="H34" s="1">
        <v>50488</v>
      </c>
      <c r="I34" s="1">
        <v>47185</v>
      </c>
      <c r="J34" s="1">
        <v>44127</v>
      </c>
      <c r="K34" s="1">
        <v>41307</v>
      </c>
      <c r="L34" s="1">
        <v>38569</v>
      </c>
      <c r="M34" s="1">
        <v>35583</v>
      </c>
      <c r="N34" s="1">
        <v>32480</v>
      </c>
      <c r="O34" s="1">
        <v>29683</v>
      </c>
      <c r="P34" s="1">
        <v>27128</v>
      </c>
      <c r="Q34" s="1">
        <v>24847</v>
      </c>
      <c r="R34" s="1">
        <v>22664</v>
      </c>
      <c r="S34" s="1">
        <v>20562</v>
      </c>
      <c r="T34" s="1">
        <v>18694</v>
      </c>
      <c r="U34" s="1">
        <v>17075</v>
      </c>
      <c r="V34" s="1">
        <v>15550</v>
      </c>
      <c r="W34" s="1">
        <v>13851</v>
      </c>
      <c r="X34" s="1">
        <v>12076</v>
      </c>
      <c r="Y34" s="1">
        <v>10608</v>
      </c>
      <c r="Z34" s="1">
        <v>9373</v>
      </c>
      <c r="AA34" s="1">
        <v>8254</v>
      </c>
      <c r="AB34" s="1">
        <v>7101</v>
      </c>
      <c r="AC34" s="1">
        <v>5948</v>
      </c>
      <c r="AD34" s="1">
        <v>5002</v>
      </c>
      <c r="AE34" s="1">
        <v>4237</v>
      </c>
      <c r="AF34" s="1">
        <v>3574</v>
      </c>
      <c r="AG34" s="7">
        <v>13783</v>
      </c>
      <c r="AH34" s="1">
        <v>66403</v>
      </c>
      <c r="AI34" s="1">
        <v>63424</v>
      </c>
      <c r="AJ34" s="1">
        <v>60580</v>
      </c>
      <c r="AK34" s="1">
        <v>57861</v>
      </c>
      <c r="AL34" s="1">
        <v>55147</v>
      </c>
      <c r="AM34" s="1">
        <v>52182</v>
      </c>
      <c r="AN34" s="1">
        <v>49095</v>
      </c>
      <c r="AO34" s="1">
        <v>46195</v>
      </c>
      <c r="AP34" s="1">
        <v>43538</v>
      </c>
      <c r="AQ34" s="1">
        <v>40847</v>
      </c>
      <c r="AR34" s="1">
        <v>37942</v>
      </c>
      <c r="AS34" s="1">
        <v>34921</v>
      </c>
      <c r="AT34" s="1">
        <v>32130</v>
      </c>
      <c r="AU34" s="1">
        <v>29528</v>
      </c>
      <c r="AV34" s="1">
        <v>27228</v>
      </c>
      <c r="AW34" s="1">
        <v>25148</v>
      </c>
      <c r="AX34" s="1">
        <v>23191</v>
      </c>
      <c r="AY34" s="1">
        <v>21412</v>
      </c>
      <c r="AZ34" s="1">
        <v>19830</v>
      </c>
      <c r="BA34" s="1">
        <v>18290</v>
      </c>
      <c r="BB34" s="1">
        <v>16553</v>
      </c>
      <c r="BC34" s="1">
        <v>14701</v>
      </c>
      <c r="BD34" s="1">
        <v>13126</v>
      </c>
      <c r="BE34" s="1">
        <v>11780</v>
      </c>
      <c r="BF34" s="1">
        <v>10532</v>
      </c>
      <c r="BG34" s="1">
        <v>9232</v>
      </c>
      <c r="BH34" s="1">
        <v>7925</v>
      </c>
      <c r="BI34" s="1">
        <v>6817</v>
      </c>
      <c r="BJ34" s="1">
        <v>5903</v>
      </c>
      <c r="BK34" s="1">
        <v>5087</v>
      </c>
      <c r="BL34" s="1">
        <v>21283</v>
      </c>
    </row>
    <row r="35" spans="1:64" x14ac:dyDescent="0.25">
      <c r="A35" s="23"/>
      <c r="B35" s="1" t="s">
        <v>33</v>
      </c>
      <c r="C35" s="1">
        <v>68576</v>
      </c>
      <c r="D35" s="1">
        <v>65049</v>
      </c>
      <c r="E35" s="1">
        <v>61768</v>
      </c>
      <c r="F35" s="1">
        <v>58633</v>
      </c>
      <c r="G35" s="1">
        <v>55666</v>
      </c>
      <c r="H35" s="1">
        <v>52522</v>
      </c>
      <c r="I35" s="1">
        <v>49201</v>
      </c>
      <c r="J35" s="1">
        <v>45978</v>
      </c>
      <c r="K35" s="1">
        <v>43002</v>
      </c>
      <c r="L35" s="1">
        <v>40250</v>
      </c>
      <c r="M35" s="1">
        <v>37293</v>
      </c>
      <c r="N35" s="1">
        <v>34130</v>
      </c>
      <c r="O35" s="1">
        <v>31151</v>
      </c>
      <c r="P35" s="1">
        <v>28468</v>
      </c>
      <c r="Q35" s="1">
        <v>26020</v>
      </c>
      <c r="R35" s="1">
        <v>23615</v>
      </c>
      <c r="S35" s="1">
        <v>21334</v>
      </c>
      <c r="T35" s="1">
        <v>19354</v>
      </c>
      <c r="U35" s="1">
        <v>17596</v>
      </c>
      <c r="V35" s="1">
        <v>16073</v>
      </c>
      <c r="W35" s="1">
        <v>14423</v>
      </c>
      <c r="X35" s="1">
        <v>12647</v>
      </c>
      <c r="Y35" s="1">
        <v>11026</v>
      </c>
      <c r="Z35" s="1">
        <v>9686</v>
      </c>
      <c r="AA35" s="1">
        <v>8559</v>
      </c>
      <c r="AB35" s="1">
        <v>7386</v>
      </c>
      <c r="AC35" s="1">
        <v>6210</v>
      </c>
      <c r="AD35" s="1">
        <v>5202</v>
      </c>
      <c r="AE35" s="1">
        <v>4377</v>
      </c>
      <c r="AF35" s="1">
        <v>3705</v>
      </c>
      <c r="AG35" s="7">
        <v>14356</v>
      </c>
      <c r="AH35" s="1">
        <v>68829</v>
      </c>
      <c r="AI35" s="1">
        <v>65655</v>
      </c>
      <c r="AJ35" s="1">
        <v>62706</v>
      </c>
      <c r="AK35" s="1">
        <v>59895</v>
      </c>
      <c r="AL35" s="1">
        <v>57209</v>
      </c>
      <c r="AM35" s="1">
        <v>54377</v>
      </c>
      <c r="AN35" s="1">
        <v>51315</v>
      </c>
      <c r="AO35" s="1">
        <v>48281</v>
      </c>
      <c r="AP35" s="1">
        <v>45431</v>
      </c>
      <c r="AQ35" s="1">
        <v>42818</v>
      </c>
      <c r="AR35" s="1">
        <v>39967</v>
      </c>
      <c r="AS35" s="1">
        <v>36934</v>
      </c>
      <c r="AT35" s="1">
        <v>33989</v>
      </c>
      <c r="AU35" s="1">
        <v>31275</v>
      </c>
      <c r="AV35" s="1">
        <v>28742</v>
      </c>
      <c r="AW35" s="1">
        <v>26315</v>
      </c>
      <c r="AX35" s="1">
        <v>24118</v>
      </c>
      <c r="AY35" s="1">
        <v>22238</v>
      </c>
      <c r="AZ35" s="1">
        <v>20537</v>
      </c>
      <c r="BA35" s="1">
        <v>19020</v>
      </c>
      <c r="BB35" s="1">
        <v>17336</v>
      </c>
      <c r="BC35" s="1">
        <v>15492</v>
      </c>
      <c r="BD35" s="1">
        <v>13763</v>
      </c>
      <c r="BE35" s="1">
        <v>12291</v>
      </c>
      <c r="BF35" s="1">
        <v>11032</v>
      </c>
      <c r="BG35" s="1">
        <v>9706</v>
      </c>
      <c r="BH35" s="1">
        <v>8364</v>
      </c>
      <c r="BI35" s="1">
        <v>7177</v>
      </c>
      <c r="BJ35" s="1">
        <v>6176</v>
      </c>
      <c r="BK35" s="1">
        <v>5347</v>
      </c>
      <c r="BL35" s="1">
        <v>22363</v>
      </c>
    </row>
    <row r="36" spans="1:64" x14ac:dyDescent="0.25">
      <c r="A36" s="23"/>
      <c r="B36" s="1" t="s">
        <v>34</v>
      </c>
      <c r="C36" s="1">
        <v>71155</v>
      </c>
      <c r="D36" s="1">
        <v>67377</v>
      </c>
      <c r="E36" s="1">
        <v>63907</v>
      </c>
      <c r="F36" s="1">
        <v>60686</v>
      </c>
      <c r="G36" s="1">
        <v>57608</v>
      </c>
      <c r="H36" s="1">
        <v>54473</v>
      </c>
      <c r="I36" s="1">
        <v>51191</v>
      </c>
      <c r="J36" s="1">
        <v>47952</v>
      </c>
      <c r="K36" s="1">
        <v>44814</v>
      </c>
      <c r="L36" s="1">
        <v>41913</v>
      </c>
      <c r="M36" s="1">
        <v>38926</v>
      </c>
      <c r="N36" s="1">
        <v>35782</v>
      </c>
      <c r="O36" s="1">
        <v>32744</v>
      </c>
      <c r="P36" s="1">
        <v>29887</v>
      </c>
      <c r="Q36" s="1">
        <v>27314</v>
      </c>
      <c r="R36" s="1">
        <v>24740</v>
      </c>
      <c r="S36" s="1">
        <v>22238</v>
      </c>
      <c r="T36" s="1">
        <v>20091</v>
      </c>
      <c r="U36" s="1">
        <v>18224</v>
      </c>
      <c r="V36" s="1">
        <v>16571</v>
      </c>
      <c r="W36" s="1">
        <v>14916</v>
      </c>
      <c r="X36" s="1">
        <v>13177</v>
      </c>
      <c r="Y36" s="1">
        <v>11555</v>
      </c>
      <c r="Z36" s="1">
        <v>10072</v>
      </c>
      <c r="AA36" s="1">
        <v>8852</v>
      </c>
      <c r="AB36" s="1">
        <v>7664</v>
      </c>
      <c r="AC36" s="1">
        <v>6465</v>
      </c>
      <c r="AD36" s="1">
        <v>5436</v>
      </c>
      <c r="AE36" s="1">
        <v>4556</v>
      </c>
      <c r="AF36" s="1">
        <v>3829</v>
      </c>
      <c r="AG36" s="7">
        <v>14947</v>
      </c>
      <c r="AH36" s="1">
        <v>71523</v>
      </c>
      <c r="AI36" s="1">
        <v>68059</v>
      </c>
      <c r="AJ36" s="1">
        <v>64920</v>
      </c>
      <c r="AK36" s="1">
        <v>62004</v>
      </c>
      <c r="AL36" s="1">
        <v>59226</v>
      </c>
      <c r="AM36" s="1">
        <v>56418</v>
      </c>
      <c r="AN36" s="1">
        <v>53484</v>
      </c>
      <c r="AO36" s="1">
        <v>50472</v>
      </c>
      <c r="AP36" s="1">
        <v>47488</v>
      </c>
      <c r="AQ36" s="1">
        <v>44687</v>
      </c>
      <c r="AR36" s="1">
        <v>41907</v>
      </c>
      <c r="AS36" s="1">
        <v>38913</v>
      </c>
      <c r="AT36" s="1">
        <v>35962</v>
      </c>
      <c r="AU36" s="1">
        <v>33094</v>
      </c>
      <c r="AV36" s="1">
        <v>30451</v>
      </c>
      <c r="AW36" s="1">
        <v>27787</v>
      </c>
      <c r="AX36" s="1">
        <v>25247</v>
      </c>
      <c r="AY36" s="1">
        <v>23143</v>
      </c>
      <c r="AZ36" s="1">
        <v>21336</v>
      </c>
      <c r="BA36" s="1">
        <v>19707</v>
      </c>
      <c r="BB36" s="1">
        <v>18037</v>
      </c>
      <c r="BC36" s="1">
        <v>16241</v>
      </c>
      <c r="BD36" s="1">
        <v>14510</v>
      </c>
      <c r="BE36" s="1">
        <v>12896</v>
      </c>
      <c r="BF36" s="1">
        <v>11520</v>
      </c>
      <c r="BG36" s="1">
        <v>10176</v>
      </c>
      <c r="BH36" s="1">
        <v>8801</v>
      </c>
      <c r="BI36" s="1">
        <v>7585</v>
      </c>
      <c r="BJ36" s="1">
        <v>6511</v>
      </c>
      <c r="BK36" s="1">
        <v>5600</v>
      </c>
      <c r="BL36" s="1">
        <v>23527</v>
      </c>
    </row>
    <row r="37" spans="1:64" x14ac:dyDescent="0.25">
      <c r="A37" s="23" t="s">
        <v>60</v>
      </c>
      <c r="B37" s="1" t="s">
        <v>20</v>
      </c>
      <c r="C37" s="1">
        <v>166847</v>
      </c>
      <c r="D37" s="1">
        <v>162057</v>
      </c>
      <c r="E37" s="1">
        <v>156268</v>
      </c>
      <c r="F37" s="1">
        <v>148724</v>
      </c>
      <c r="G37" s="1">
        <v>140156</v>
      </c>
      <c r="H37" s="1">
        <v>131921</v>
      </c>
      <c r="I37" s="1">
        <v>123596</v>
      </c>
      <c r="J37" s="1">
        <v>116317</v>
      </c>
      <c r="K37" s="1">
        <v>110739</v>
      </c>
      <c r="L37" s="1">
        <v>106221</v>
      </c>
      <c r="M37" s="1">
        <v>101613</v>
      </c>
      <c r="N37" s="1">
        <v>97318</v>
      </c>
      <c r="O37" s="1">
        <v>92124</v>
      </c>
      <c r="P37" s="1">
        <v>85360</v>
      </c>
      <c r="Q37" s="1">
        <v>77714</v>
      </c>
      <c r="R37" s="1">
        <v>70449</v>
      </c>
      <c r="S37" s="1">
        <v>63198</v>
      </c>
      <c r="T37" s="1">
        <v>57051</v>
      </c>
      <c r="U37" s="1">
        <v>52642</v>
      </c>
      <c r="V37" s="1">
        <v>49387</v>
      </c>
      <c r="W37" s="1">
        <v>45978</v>
      </c>
      <c r="X37" s="1">
        <v>42563</v>
      </c>
      <c r="Y37" s="1">
        <v>39290</v>
      </c>
      <c r="Z37" s="1">
        <v>36058</v>
      </c>
      <c r="AA37" s="1">
        <v>32778</v>
      </c>
      <c r="AB37" s="1">
        <v>29346</v>
      </c>
      <c r="AC37" s="1">
        <v>25675</v>
      </c>
      <c r="AD37" s="1">
        <v>21667</v>
      </c>
      <c r="AE37" s="1">
        <v>17221</v>
      </c>
      <c r="AF37" s="1">
        <v>12247</v>
      </c>
      <c r="AG37" s="7">
        <v>61899</v>
      </c>
      <c r="AH37" s="1">
        <v>193458</v>
      </c>
      <c r="AI37" s="1">
        <v>187019</v>
      </c>
      <c r="AJ37" s="1">
        <v>179894</v>
      </c>
      <c r="AK37" s="1">
        <v>171579</v>
      </c>
      <c r="AL37" s="1">
        <v>162632</v>
      </c>
      <c r="AM37" s="1">
        <v>153917</v>
      </c>
      <c r="AN37" s="1">
        <v>145030</v>
      </c>
      <c r="AO37" s="1">
        <v>137524</v>
      </c>
      <c r="AP37" s="1">
        <v>132185</v>
      </c>
      <c r="AQ37" s="1">
        <v>128171</v>
      </c>
      <c r="AR37" s="1">
        <v>124044</v>
      </c>
      <c r="AS37" s="1">
        <v>120327</v>
      </c>
      <c r="AT37" s="1">
        <v>115220</v>
      </c>
      <c r="AU37" s="1">
        <v>107759</v>
      </c>
      <c r="AV37" s="1">
        <v>98911</v>
      </c>
      <c r="AW37" s="1">
        <v>90484</v>
      </c>
      <c r="AX37" s="1">
        <v>81977</v>
      </c>
      <c r="AY37" s="1">
        <v>74770</v>
      </c>
      <c r="AZ37" s="1">
        <v>69688</v>
      </c>
      <c r="BA37" s="1">
        <v>65978</v>
      </c>
      <c r="BB37" s="1">
        <v>61949</v>
      </c>
      <c r="BC37" s="1">
        <v>57790</v>
      </c>
      <c r="BD37" s="1">
        <v>53702</v>
      </c>
      <c r="BE37" s="1">
        <v>49561</v>
      </c>
      <c r="BF37" s="1">
        <v>45248</v>
      </c>
      <c r="BG37" s="1">
        <v>40640</v>
      </c>
      <c r="BH37" s="1">
        <v>35618</v>
      </c>
      <c r="BI37" s="1">
        <v>30060</v>
      </c>
      <c r="BJ37" s="1">
        <v>23852</v>
      </c>
      <c r="BK37" s="1">
        <v>16867</v>
      </c>
      <c r="BL37" s="1">
        <v>100398</v>
      </c>
    </row>
    <row r="38" spans="1:64" x14ac:dyDescent="0.25">
      <c r="A38" s="23"/>
      <c r="B38" s="1" t="s">
        <v>21</v>
      </c>
      <c r="C38" s="1">
        <v>169111</v>
      </c>
      <c r="D38" s="1">
        <v>163530</v>
      </c>
      <c r="E38" s="1">
        <v>158840</v>
      </c>
      <c r="F38" s="1">
        <v>153170</v>
      </c>
      <c r="G38" s="1">
        <v>145778</v>
      </c>
      <c r="H38" s="1">
        <v>136812</v>
      </c>
      <c r="I38" s="1">
        <v>128220</v>
      </c>
      <c r="J38" s="1">
        <v>120129</v>
      </c>
      <c r="K38" s="1">
        <v>113061</v>
      </c>
      <c r="L38" s="1">
        <v>107641</v>
      </c>
      <c r="M38" s="1">
        <v>102491</v>
      </c>
      <c r="N38" s="1">
        <v>97291</v>
      </c>
      <c r="O38" s="1">
        <v>93181</v>
      </c>
      <c r="P38" s="1">
        <v>88209</v>
      </c>
      <c r="Q38" s="1">
        <v>81735</v>
      </c>
      <c r="R38" s="1">
        <v>73631</v>
      </c>
      <c r="S38" s="1">
        <v>66001</v>
      </c>
      <c r="T38" s="1">
        <v>59203</v>
      </c>
      <c r="U38" s="1">
        <v>53444</v>
      </c>
      <c r="V38" s="1">
        <v>49316</v>
      </c>
      <c r="W38" s="1">
        <v>45533</v>
      </c>
      <c r="X38" s="1">
        <v>41654</v>
      </c>
      <c r="Y38" s="1">
        <v>38566</v>
      </c>
      <c r="Z38" s="1">
        <v>35598</v>
      </c>
      <c r="AA38" s="1">
        <v>32669</v>
      </c>
      <c r="AB38" s="1">
        <v>29080</v>
      </c>
      <c r="AC38" s="1">
        <v>25412</v>
      </c>
      <c r="AD38" s="1">
        <v>22229</v>
      </c>
      <c r="AE38" s="1">
        <v>18762</v>
      </c>
      <c r="AF38" s="1">
        <v>14917</v>
      </c>
      <c r="AG38" s="7">
        <v>59371</v>
      </c>
      <c r="AH38" s="1">
        <v>198139</v>
      </c>
      <c r="AI38" s="1">
        <v>190978</v>
      </c>
      <c r="AJ38" s="1">
        <v>184628</v>
      </c>
      <c r="AK38" s="1">
        <v>177591</v>
      </c>
      <c r="AL38" s="1">
        <v>169376</v>
      </c>
      <c r="AM38" s="1">
        <v>160075</v>
      </c>
      <c r="AN38" s="1">
        <v>151036</v>
      </c>
      <c r="AO38" s="1">
        <v>142308</v>
      </c>
      <c r="AP38" s="1">
        <v>134937</v>
      </c>
      <c r="AQ38" s="1">
        <v>129698</v>
      </c>
      <c r="AR38" s="1">
        <v>125116</v>
      </c>
      <c r="AS38" s="1">
        <v>120441</v>
      </c>
      <c r="AT38" s="1">
        <v>116832</v>
      </c>
      <c r="AU38" s="1">
        <v>111873</v>
      </c>
      <c r="AV38" s="1">
        <v>104626</v>
      </c>
      <c r="AW38" s="1">
        <v>95290</v>
      </c>
      <c r="AX38" s="1">
        <v>86457</v>
      </c>
      <c r="AY38" s="1">
        <v>78324</v>
      </c>
      <c r="AZ38" s="1">
        <v>71434</v>
      </c>
      <c r="BA38" s="1">
        <v>66578</v>
      </c>
      <c r="BB38" s="1">
        <v>62190</v>
      </c>
      <c r="BC38" s="1">
        <v>57539</v>
      </c>
      <c r="BD38" s="1">
        <v>53674</v>
      </c>
      <c r="BE38" s="1">
        <v>49877</v>
      </c>
      <c r="BF38" s="1">
        <v>46022</v>
      </c>
      <c r="BG38" s="1">
        <v>41233</v>
      </c>
      <c r="BH38" s="1">
        <v>36260</v>
      </c>
      <c r="BI38" s="1">
        <v>31777</v>
      </c>
      <c r="BJ38" s="1">
        <v>26820</v>
      </c>
      <c r="BK38" s="1">
        <v>21288</v>
      </c>
      <c r="BL38" s="1">
        <v>96336</v>
      </c>
    </row>
    <row r="39" spans="1:64" x14ac:dyDescent="0.25">
      <c r="A39" s="23"/>
      <c r="B39" s="1" t="s">
        <v>22</v>
      </c>
      <c r="C39" s="1">
        <v>171855</v>
      </c>
      <c r="D39" s="1">
        <v>165788</v>
      </c>
      <c r="E39" s="1">
        <v>160325</v>
      </c>
      <c r="F39" s="1">
        <v>155727</v>
      </c>
      <c r="G39" s="1">
        <v>150171</v>
      </c>
      <c r="H39" s="1">
        <v>142344</v>
      </c>
      <c r="I39" s="1">
        <v>133019</v>
      </c>
      <c r="J39" s="1">
        <v>124672</v>
      </c>
      <c r="K39" s="1">
        <v>116803</v>
      </c>
      <c r="L39" s="1">
        <v>109938</v>
      </c>
      <c r="M39" s="1">
        <v>103899</v>
      </c>
      <c r="N39" s="1">
        <v>98181</v>
      </c>
      <c r="O39" s="1">
        <v>93200</v>
      </c>
      <c r="P39" s="1">
        <v>89265</v>
      </c>
      <c r="Q39" s="1">
        <v>84504</v>
      </c>
      <c r="R39" s="1">
        <v>77488</v>
      </c>
      <c r="S39" s="1">
        <v>69033</v>
      </c>
      <c r="T39" s="1">
        <v>61876</v>
      </c>
      <c r="U39" s="1">
        <v>55501</v>
      </c>
      <c r="V39" s="1">
        <v>50100</v>
      </c>
      <c r="W39" s="1">
        <v>45499</v>
      </c>
      <c r="X39" s="1">
        <v>41291</v>
      </c>
      <c r="Y39" s="1">
        <v>37777</v>
      </c>
      <c r="Z39" s="1">
        <v>34974</v>
      </c>
      <c r="AA39" s="1">
        <v>32283</v>
      </c>
      <c r="AB39" s="1">
        <v>29013</v>
      </c>
      <c r="AC39" s="1">
        <v>25217</v>
      </c>
      <c r="AD39" s="1">
        <v>22033</v>
      </c>
      <c r="AE39" s="1">
        <v>19272</v>
      </c>
      <c r="AF39" s="1">
        <v>16268</v>
      </c>
      <c r="AG39" s="7">
        <v>59691</v>
      </c>
      <c r="AH39" s="1">
        <v>203353</v>
      </c>
      <c r="AI39" s="1">
        <v>195652</v>
      </c>
      <c r="AJ39" s="1">
        <v>188585</v>
      </c>
      <c r="AK39" s="1">
        <v>182312</v>
      </c>
      <c r="AL39" s="1">
        <v>175363</v>
      </c>
      <c r="AM39" s="1">
        <v>166766</v>
      </c>
      <c r="AN39" s="1">
        <v>157142</v>
      </c>
      <c r="AO39" s="1">
        <v>148262</v>
      </c>
      <c r="AP39" s="1">
        <v>139691</v>
      </c>
      <c r="AQ39" s="1">
        <v>132447</v>
      </c>
      <c r="AR39" s="1">
        <v>126665</v>
      </c>
      <c r="AS39" s="1">
        <v>121549</v>
      </c>
      <c r="AT39" s="1">
        <v>117009</v>
      </c>
      <c r="AU39" s="1">
        <v>113502</v>
      </c>
      <c r="AV39" s="1">
        <v>108681</v>
      </c>
      <c r="AW39" s="1">
        <v>100868</v>
      </c>
      <c r="AX39" s="1">
        <v>91128</v>
      </c>
      <c r="AY39" s="1">
        <v>82678</v>
      </c>
      <c r="AZ39" s="1">
        <v>74894</v>
      </c>
      <c r="BA39" s="1">
        <v>68304</v>
      </c>
      <c r="BB39" s="1">
        <v>62823</v>
      </c>
      <c r="BC39" s="1">
        <v>57844</v>
      </c>
      <c r="BD39" s="1">
        <v>53514</v>
      </c>
      <c r="BE39" s="1">
        <v>49920</v>
      </c>
      <c r="BF39" s="1">
        <v>46381</v>
      </c>
      <c r="BG39" s="1">
        <v>42011</v>
      </c>
      <c r="BH39" s="1">
        <v>36867</v>
      </c>
      <c r="BI39" s="1">
        <v>32420</v>
      </c>
      <c r="BJ39" s="1">
        <v>28411</v>
      </c>
      <c r="BK39" s="1">
        <v>23980</v>
      </c>
      <c r="BL39" s="1">
        <v>97112</v>
      </c>
    </row>
    <row r="40" spans="1:64" x14ac:dyDescent="0.25">
      <c r="A40" s="23"/>
      <c r="B40" s="1" t="s">
        <v>23</v>
      </c>
      <c r="C40" s="1">
        <v>175395</v>
      </c>
      <c r="D40" s="1">
        <v>168518</v>
      </c>
      <c r="E40" s="1">
        <v>162577</v>
      </c>
      <c r="F40" s="1">
        <v>157220</v>
      </c>
      <c r="G40" s="1">
        <v>152717</v>
      </c>
      <c r="H40" s="1">
        <v>146674</v>
      </c>
      <c r="I40" s="1">
        <v>138445</v>
      </c>
      <c r="J40" s="1">
        <v>129381</v>
      </c>
      <c r="K40" s="1">
        <v>121269</v>
      </c>
      <c r="L40" s="1">
        <v>113612</v>
      </c>
      <c r="M40" s="1">
        <v>106162</v>
      </c>
      <c r="N40" s="1">
        <v>99574</v>
      </c>
      <c r="O40" s="1">
        <v>94095</v>
      </c>
      <c r="P40" s="1">
        <v>89324</v>
      </c>
      <c r="Q40" s="1">
        <v>85559</v>
      </c>
      <c r="R40" s="1">
        <v>80163</v>
      </c>
      <c r="S40" s="1">
        <v>72700</v>
      </c>
      <c r="T40" s="1">
        <v>64768</v>
      </c>
      <c r="U40" s="1">
        <v>58049</v>
      </c>
      <c r="V40" s="1">
        <v>52067</v>
      </c>
      <c r="W40" s="1">
        <v>46259</v>
      </c>
      <c r="X40" s="1">
        <v>41296</v>
      </c>
      <c r="Y40" s="1">
        <v>37478</v>
      </c>
      <c r="Z40" s="1">
        <v>34291</v>
      </c>
      <c r="AA40" s="1">
        <v>31748</v>
      </c>
      <c r="AB40" s="1">
        <v>28701</v>
      </c>
      <c r="AC40" s="1">
        <v>25192</v>
      </c>
      <c r="AD40" s="1">
        <v>21894</v>
      </c>
      <c r="AE40" s="1">
        <v>19129</v>
      </c>
      <c r="AF40" s="1">
        <v>16731</v>
      </c>
      <c r="AG40" s="7">
        <v>61164</v>
      </c>
      <c r="AH40" s="1">
        <v>208827</v>
      </c>
      <c r="AI40" s="1">
        <v>200852</v>
      </c>
      <c r="AJ40" s="1">
        <v>193249</v>
      </c>
      <c r="AK40" s="1">
        <v>186265</v>
      </c>
      <c r="AL40" s="1">
        <v>180069</v>
      </c>
      <c r="AM40" s="1">
        <v>172720</v>
      </c>
      <c r="AN40" s="1">
        <v>163773</v>
      </c>
      <c r="AO40" s="1">
        <v>154314</v>
      </c>
      <c r="AP40" s="1">
        <v>145591</v>
      </c>
      <c r="AQ40" s="1">
        <v>137167</v>
      </c>
      <c r="AR40" s="1">
        <v>129407</v>
      </c>
      <c r="AS40" s="1">
        <v>123122</v>
      </c>
      <c r="AT40" s="1">
        <v>118148</v>
      </c>
      <c r="AU40" s="1">
        <v>113734</v>
      </c>
      <c r="AV40" s="1">
        <v>110326</v>
      </c>
      <c r="AW40" s="1">
        <v>104847</v>
      </c>
      <c r="AX40" s="1">
        <v>96542</v>
      </c>
      <c r="AY40" s="1">
        <v>87216</v>
      </c>
      <c r="AZ40" s="1">
        <v>79122</v>
      </c>
      <c r="BA40" s="1">
        <v>71671</v>
      </c>
      <c r="BB40" s="1">
        <v>64518</v>
      </c>
      <c r="BC40" s="1">
        <v>58514</v>
      </c>
      <c r="BD40" s="1">
        <v>53872</v>
      </c>
      <c r="BE40" s="1">
        <v>49834</v>
      </c>
      <c r="BF40" s="1">
        <v>46485</v>
      </c>
      <c r="BG40" s="1">
        <v>42408</v>
      </c>
      <c r="BH40" s="1">
        <v>37641</v>
      </c>
      <c r="BI40" s="1">
        <v>33032</v>
      </c>
      <c r="BJ40" s="1">
        <v>29045</v>
      </c>
      <c r="BK40" s="1">
        <v>25455</v>
      </c>
      <c r="BL40" s="1">
        <v>100320</v>
      </c>
    </row>
    <row r="41" spans="1:64" x14ac:dyDescent="0.25">
      <c r="A41" s="23"/>
      <c r="B41" s="1" t="s">
        <v>24</v>
      </c>
      <c r="C41" s="1">
        <v>180204</v>
      </c>
      <c r="D41" s="1">
        <v>172034</v>
      </c>
      <c r="E41" s="1">
        <v>165291</v>
      </c>
      <c r="F41" s="1">
        <v>159466</v>
      </c>
      <c r="G41" s="1">
        <v>154216</v>
      </c>
      <c r="H41" s="1">
        <v>149204</v>
      </c>
      <c r="I41" s="1">
        <v>142705</v>
      </c>
      <c r="J41" s="1">
        <v>134705</v>
      </c>
      <c r="K41" s="1">
        <v>125889</v>
      </c>
      <c r="L41" s="1">
        <v>118000</v>
      </c>
      <c r="M41" s="1">
        <v>109756</v>
      </c>
      <c r="N41" s="1">
        <v>101790</v>
      </c>
      <c r="O41" s="1">
        <v>95474</v>
      </c>
      <c r="P41" s="1">
        <v>90227</v>
      </c>
      <c r="Q41" s="1">
        <v>85651</v>
      </c>
      <c r="R41" s="1">
        <v>81211</v>
      </c>
      <c r="S41" s="1">
        <v>75264</v>
      </c>
      <c r="T41" s="1">
        <v>68257</v>
      </c>
      <c r="U41" s="1">
        <v>60806</v>
      </c>
      <c r="V41" s="1">
        <v>54495</v>
      </c>
      <c r="W41" s="1">
        <v>48119</v>
      </c>
      <c r="X41" s="1">
        <v>42025</v>
      </c>
      <c r="Y41" s="1">
        <v>37518</v>
      </c>
      <c r="Z41" s="1">
        <v>34049</v>
      </c>
      <c r="AA41" s="1">
        <v>31155</v>
      </c>
      <c r="AB41" s="1">
        <v>28256</v>
      </c>
      <c r="AC41" s="1">
        <v>24956</v>
      </c>
      <c r="AD41" s="1">
        <v>21900</v>
      </c>
      <c r="AE41" s="1">
        <v>19032</v>
      </c>
      <c r="AF41" s="1">
        <v>16632</v>
      </c>
      <c r="AG41" s="7">
        <v>62815</v>
      </c>
      <c r="AH41" s="1">
        <v>214754</v>
      </c>
      <c r="AI41" s="1">
        <v>206311</v>
      </c>
      <c r="AJ41" s="1">
        <v>198431</v>
      </c>
      <c r="AK41" s="1">
        <v>190919</v>
      </c>
      <c r="AL41" s="1">
        <v>184017</v>
      </c>
      <c r="AM41" s="1">
        <v>177407</v>
      </c>
      <c r="AN41" s="1">
        <v>169681</v>
      </c>
      <c r="AO41" s="1">
        <v>160887</v>
      </c>
      <c r="AP41" s="1">
        <v>151588</v>
      </c>
      <c r="AQ41" s="1">
        <v>143015</v>
      </c>
      <c r="AR41" s="1">
        <v>134081</v>
      </c>
      <c r="AS41" s="1">
        <v>125854</v>
      </c>
      <c r="AT41" s="1">
        <v>119736</v>
      </c>
      <c r="AU41" s="1">
        <v>114900</v>
      </c>
      <c r="AV41" s="1">
        <v>110606</v>
      </c>
      <c r="AW41" s="1">
        <v>106504</v>
      </c>
      <c r="AX41" s="1">
        <v>100430</v>
      </c>
      <c r="AY41" s="1">
        <v>92470</v>
      </c>
      <c r="AZ41" s="1">
        <v>83532</v>
      </c>
      <c r="BA41" s="1">
        <v>75779</v>
      </c>
      <c r="BB41" s="1">
        <v>67767</v>
      </c>
      <c r="BC41" s="1">
        <v>60168</v>
      </c>
      <c r="BD41" s="1">
        <v>54564</v>
      </c>
      <c r="BE41" s="1">
        <v>50234</v>
      </c>
      <c r="BF41" s="1">
        <v>46463</v>
      </c>
      <c r="BG41" s="1">
        <v>42571</v>
      </c>
      <c r="BH41" s="1">
        <v>38071</v>
      </c>
      <c r="BI41" s="1">
        <v>33792</v>
      </c>
      <c r="BJ41" s="1">
        <v>29652</v>
      </c>
      <c r="BK41" s="1">
        <v>26074</v>
      </c>
      <c r="BL41" s="1">
        <v>104475</v>
      </c>
    </row>
    <row r="42" spans="1:64" x14ac:dyDescent="0.25">
      <c r="A42" s="23"/>
      <c r="B42" s="1" t="s">
        <v>25</v>
      </c>
      <c r="C42" s="1">
        <v>185875</v>
      </c>
      <c r="D42" s="1">
        <v>176791</v>
      </c>
      <c r="E42" s="1">
        <v>168781</v>
      </c>
      <c r="F42" s="1">
        <v>162165</v>
      </c>
      <c r="G42" s="1">
        <v>156457</v>
      </c>
      <c r="H42" s="1">
        <v>150707</v>
      </c>
      <c r="I42" s="1">
        <v>145219</v>
      </c>
      <c r="J42" s="1">
        <v>138896</v>
      </c>
      <c r="K42" s="1">
        <v>131113</v>
      </c>
      <c r="L42" s="1">
        <v>122536</v>
      </c>
      <c r="M42" s="1">
        <v>114045</v>
      </c>
      <c r="N42" s="1">
        <v>105289</v>
      </c>
      <c r="O42" s="1">
        <v>97646</v>
      </c>
      <c r="P42" s="1">
        <v>91589</v>
      </c>
      <c r="Q42" s="1">
        <v>86559</v>
      </c>
      <c r="R42" s="1">
        <v>81342</v>
      </c>
      <c r="S42" s="1">
        <v>76298</v>
      </c>
      <c r="T42" s="1">
        <v>70714</v>
      </c>
      <c r="U42" s="1">
        <v>64125</v>
      </c>
      <c r="V42" s="1">
        <v>57126</v>
      </c>
      <c r="W42" s="1">
        <v>50406</v>
      </c>
      <c r="X42" s="1">
        <v>43760</v>
      </c>
      <c r="Y42" s="1">
        <v>38212</v>
      </c>
      <c r="Z42" s="1">
        <v>34119</v>
      </c>
      <c r="AA42" s="1">
        <v>30960</v>
      </c>
      <c r="AB42" s="1">
        <v>27760</v>
      </c>
      <c r="AC42" s="1">
        <v>24601</v>
      </c>
      <c r="AD42" s="1">
        <v>21724</v>
      </c>
      <c r="AE42" s="1">
        <v>19065</v>
      </c>
      <c r="AF42" s="1">
        <v>16568</v>
      </c>
      <c r="AG42" s="7">
        <v>64144</v>
      </c>
      <c r="AH42" s="1">
        <v>221012</v>
      </c>
      <c r="AI42" s="1">
        <v>212220</v>
      </c>
      <c r="AJ42" s="1">
        <v>203872</v>
      </c>
      <c r="AK42" s="1">
        <v>196085</v>
      </c>
      <c r="AL42" s="1">
        <v>188658</v>
      </c>
      <c r="AM42" s="1">
        <v>181346</v>
      </c>
      <c r="AN42" s="1">
        <v>174342</v>
      </c>
      <c r="AO42" s="1">
        <v>166748</v>
      </c>
      <c r="AP42" s="1">
        <v>158104</v>
      </c>
      <c r="AQ42" s="1">
        <v>148961</v>
      </c>
      <c r="AR42" s="1">
        <v>139857</v>
      </c>
      <c r="AS42" s="1">
        <v>130465</v>
      </c>
      <c r="AT42" s="1">
        <v>122455</v>
      </c>
      <c r="AU42" s="1">
        <v>116503</v>
      </c>
      <c r="AV42" s="1">
        <v>111796</v>
      </c>
      <c r="AW42" s="1">
        <v>106841</v>
      </c>
      <c r="AX42" s="1">
        <v>102091</v>
      </c>
      <c r="AY42" s="1">
        <v>96267</v>
      </c>
      <c r="AZ42" s="1">
        <v>88633</v>
      </c>
      <c r="BA42" s="1">
        <v>80062</v>
      </c>
      <c r="BB42" s="1">
        <v>71720</v>
      </c>
      <c r="BC42" s="1">
        <v>63273</v>
      </c>
      <c r="BD42" s="1">
        <v>56176</v>
      </c>
      <c r="BE42" s="1">
        <v>50942</v>
      </c>
      <c r="BF42" s="1">
        <v>46896</v>
      </c>
      <c r="BG42" s="1">
        <v>42614</v>
      </c>
      <c r="BH42" s="1">
        <v>38290</v>
      </c>
      <c r="BI42" s="1">
        <v>34242</v>
      </c>
      <c r="BJ42" s="1">
        <v>30392</v>
      </c>
      <c r="BK42" s="1">
        <v>26670</v>
      </c>
      <c r="BL42" s="1">
        <v>108678</v>
      </c>
    </row>
    <row r="43" spans="1:64" x14ac:dyDescent="0.25">
      <c r="A43" s="23"/>
      <c r="B43" s="1" t="s">
        <v>26</v>
      </c>
      <c r="C43" s="1">
        <v>191747</v>
      </c>
      <c r="D43" s="1">
        <v>182403</v>
      </c>
      <c r="E43" s="1">
        <v>173487</v>
      </c>
      <c r="F43" s="1">
        <v>165629</v>
      </c>
      <c r="G43" s="1">
        <v>159142</v>
      </c>
      <c r="H43" s="1">
        <v>152939</v>
      </c>
      <c r="I43" s="1">
        <v>146724</v>
      </c>
      <c r="J43" s="1">
        <v>141391</v>
      </c>
      <c r="K43" s="1">
        <v>135239</v>
      </c>
      <c r="L43" s="1">
        <v>127661</v>
      </c>
      <c r="M43" s="1">
        <v>118477</v>
      </c>
      <c r="N43" s="1">
        <v>109460</v>
      </c>
      <c r="O43" s="1">
        <v>101053</v>
      </c>
      <c r="P43" s="1">
        <v>93717</v>
      </c>
      <c r="Q43" s="1">
        <v>87904</v>
      </c>
      <c r="R43" s="1">
        <v>82248</v>
      </c>
      <c r="S43" s="1">
        <v>76468</v>
      </c>
      <c r="T43" s="1">
        <v>71732</v>
      </c>
      <c r="U43" s="1">
        <v>66482</v>
      </c>
      <c r="V43" s="1">
        <v>60286</v>
      </c>
      <c r="W43" s="1">
        <v>52885</v>
      </c>
      <c r="X43" s="1">
        <v>45885</v>
      </c>
      <c r="Y43" s="1">
        <v>39832</v>
      </c>
      <c r="Z43" s="1">
        <v>34779</v>
      </c>
      <c r="AA43" s="1">
        <v>31050</v>
      </c>
      <c r="AB43" s="1">
        <v>27617</v>
      </c>
      <c r="AC43" s="1">
        <v>24202</v>
      </c>
      <c r="AD43" s="1">
        <v>21442</v>
      </c>
      <c r="AE43" s="1">
        <v>18934</v>
      </c>
      <c r="AF43" s="1">
        <v>16620</v>
      </c>
      <c r="AG43" s="7">
        <v>65249</v>
      </c>
      <c r="AH43" s="1">
        <v>227526</v>
      </c>
      <c r="AI43" s="1">
        <v>218452</v>
      </c>
      <c r="AJ43" s="1">
        <v>209762</v>
      </c>
      <c r="AK43" s="1">
        <v>201507</v>
      </c>
      <c r="AL43" s="1">
        <v>193809</v>
      </c>
      <c r="AM43" s="1">
        <v>185967</v>
      </c>
      <c r="AN43" s="1">
        <v>178268</v>
      </c>
      <c r="AO43" s="1">
        <v>171384</v>
      </c>
      <c r="AP43" s="1">
        <v>163915</v>
      </c>
      <c r="AQ43" s="1">
        <v>155415</v>
      </c>
      <c r="AR43" s="1">
        <v>145736</v>
      </c>
      <c r="AS43" s="1">
        <v>136153</v>
      </c>
      <c r="AT43" s="1">
        <v>127006</v>
      </c>
      <c r="AU43" s="1">
        <v>119205</v>
      </c>
      <c r="AV43" s="1">
        <v>113408</v>
      </c>
      <c r="AW43" s="1">
        <v>108053</v>
      </c>
      <c r="AX43" s="1">
        <v>102488</v>
      </c>
      <c r="AY43" s="1">
        <v>97929</v>
      </c>
      <c r="AZ43" s="1">
        <v>92342</v>
      </c>
      <c r="BA43" s="1">
        <v>85015</v>
      </c>
      <c r="BB43" s="1">
        <v>75843</v>
      </c>
      <c r="BC43" s="1">
        <v>67041</v>
      </c>
      <c r="BD43" s="1">
        <v>59145</v>
      </c>
      <c r="BE43" s="1">
        <v>52508</v>
      </c>
      <c r="BF43" s="1">
        <v>47613</v>
      </c>
      <c r="BG43" s="1">
        <v>43076</v>
      </c>
      <c r="BH43" s="1">
        <v>38398</v>
      </c>
      <c r="BI43" s="1">
        <v>34499</v>
      </c>
      <c r="BJ43" s="1">
        <v>30853</v>
      </c>
      <c r="BK43" s="1">
        <v>27384</v>
      </c>
      <c r="BL43" s="1">
        <v>112914</v>
      </c>
    </row>
    <row r="44" spans="1:64" x14ac:dyDescent="0.25">
      <c r="A44" s="23"/>
      <c r="B44" s="1" t="s">
        <v>27</v>
      </c>
      <c r="C44" s="1">
        <v>197864</v>
      </c>
      <c r="D44" s="1">
        <v>188206</v>
      </c>
      <c r="E44" s="1">
        <v>179038</v>
      </c>
      <c r="F44" s="1">
        <v>170289</v>
      </c>
      <c r="G44" s="1">
        <v>162576</v>
      </c>
      <c r="H44" s="1">
        <v>155608</v>
      </c>
      <c r="I44" s="1">
        <v>148947</v>
      </c>
      <c r="J44" s="1">
        <v>142898</v>
      </c>
      <c r="K44" s="1">
        <v>137709</v>
      </c>
      <c r="L44" s="1">
        <v>131724</v>
      </c>
      <c r="M44" s="1">
        <v>123482</v>
      </c>
      <c r="N44" s="1">
        <v>113771</v>
      </c>
      <c r="O44" s="1">
        <v>105106</v>
      </c>
      <c r="P44" s="1">
        <v>97034</v>
      </c>
      <c r="Q44" s="1">
        <v>89989</v>
      </c>
      <c r="R44" s="1">
        <v>83568</v>
      </c>
      <c r="S44" s="1">
        <v>77371</v>
      </c>
      <c r="T44" s="1">
        <v>71935</v>
      </c>
      <c r="U44" s="1">
        <v>67480</v>
      </c>
      <c r="V44" s="1">
        <v>62544</v>
      </c>
      <c r="W44" s="1">
        <v>55856</v>
      </c>
      <c r="X44" s="1">
        <v>48191</v>
      </c>
      <c r="Y44" s="1">
        <v>41807</v>
      </c>
      <c r="Z44" s="1">
        <v>36289</v>
      </c>
      <c r="AA44" s="1">
        <v>31683</v>
      </c>
      <c r="AB44" s="1">
        <v>27723</v>
      </c>
      <c r="AC44" s="1">
        <v>24106</v>
      </c>
      <c r="AD44" s="1">
        <v>21124</v>
      </c>
      <c r="AE44" s="1">
        <v>18715</v>
      </c>
      <c r="AF44" s="1">
        <v>16523</v>
      </c>
      <c r="AG44" s="7">
        <v>66274</v>
      </c>
      <c r="AH44" s="1">
        <v>234181</v>
      </c>
      <c r="AI44" s="1">
        <v>224946</v>
      </c>
      <c r="AJ44" s="1">
        <v>215970</v>
      </c>
      <c r="AK44" s="1">
        <v>207376</v>
      </c>
      <c r="AL44" s="1">
        <v>199211</v>
      </c>
      <c r="AM44" s="1">
        <v>191093</v>
      </c>
      <c r="AN44" s="1">
        <v>182866</v>
      </c>
      <c r="AO44" s="1">
        <v>175295</v>
      </c>
      <c r="AP44" s="1">
        <v>168522</v>
      </c>
      <c r="AQ44" s="1">
        <v>161179</v>
      </c>
      <c r="AR44" s="1">
        <v>152110</v>
      </c>
      <c r="AS44" s="1">
        <v>141944</v>
      </c>
      <c r="AT44" s="1">
        <v>132609</v>
      </c>
      <c r="AU44" s="1">
        <v>123694</v>
      </c>
      <c r="AV44" s="1">
        <v>116094</v>
      </c>
      <c r="AW44" s="1">
        <v>109671</v>
      </c>
      <c r="AX44" s="1">
        <v>103723</v>
      </c>
      <c r="AY44" s="1">
        <v>98375</v>
      </c>
      <c r="AZ44" s="1">
        <v>94000</v>
      </c>
      <c r="BA44" s="1">
        <v>88633</v>
      </c>
      <c r="BB44" s="1">
        <v>80611</v>
      </c>
      <c r="BC44" s="1">
        <v>70975</v>
      </c>
      <c r="BD44" s="1">
        <v>62733</v>
      </c>
      <c r="BE44" s="1">
        <v>55346</v>
      </c>
      <c r="BF44" s="1">
        <v>49130</v>
      </c>
      <c r="BG44" s="1">
        <v>43795</v>
      </c>
      <c r="BH44" s="1">
        <v>38881</v>
      </c>
      <c r="BI44" s="1">
        <v>34657</v>
      </c>
      <c r="BJ44" s="1">
        <v>31141</v>
      </c>
      <c r="BK44" s="1">
        <v>27847</v>
      </c>
      <c r="BL44" s="1">
        <v>117288</v>
      </c>
    </row>
    <row r="45" spans="1:64" x14ac:dyDescent="0.25">
      <c r="A45" s="23"/>
      <c r="B45" s="1" t="s">
        <v>28</v>
      </c>
      <c r="C45" s="1">
        <v>204651</v>
      </c>
      <c r="D45" s="1">
        <v>194258</v>
      </c>
      <c r="E45" s="1">
        <v>184779</v>
      </c>
      <c r="F45" s="1">
        <v>175780</v>
      </c>
      <c r="G45" s="1">
        <v>167186</v>
      </c>
      <c r="H45" s="1">
        <v>159010</v>
      </c>
      <c r="I45" s="1">
        <v>151592</v>
      </c>
      <c r="J45" s="1">
        <v>145108</v>
      </c>
      <c r="K45" s="1">
        <v>139217</v>
      </c>
      <c r="L45" s="1">
        <v>134172</v>
      </c>
      <c r="M45" s="1">
        <v>127460</v>
      </c>
      <c r="N45" s="1">
        <v>118632</v>
      </c>
      <c r="O45" s="1">
        <v>109304</v>
      </c>
      <c r="P45" s="1">
        <v>100972</v>
      </c>
      <c r="Q45" s="1">
        <v>93220</v>
      </c>
      <c r="R45" s="1">
        <v>85594</v>
      </c>
      <c r="S45" s="1">
        <v>78662</v>
      </c>
      <c r="T45" s="1">
        <v>72828</v>
      </c>
      <c r="U45" s="1">
        <v>67713</v>
      </c>
      <c r="V45" s="1">
        <v>63520</v>
      </c>
      <c r="W45" s="1">
        <v>57997</v>
      </c>
      <c r="X45" s="1">
        <v>50942</v>
      </c>
      <c r="Y45" s="1">
        <v>43953</v>
      </c>
      <c r="Z45" s="1">
        <v>38128</v>
      </c>
      <c r="AA45" s="1">
        <v>33090</v>
      </c>
      <c r="AB45" s="1">
        <v>28318</v>
      </c>
      <c r="AC45" s="1">
        <v>24231</v>
      </c>
      <c r="AD45" s="1">
        <v>21066</v>
      </c>
      <c r="AE45" s="1">
        <v>18461</v>
      </c>
      <c r="AF45" s="1">
        <v>16352</v>
      </c>
      <c r="AG45" s="7">
        <v>67114</v>
      </c>
      <c r="AH45" s="1">
        <v>241553</v>
      </c>
      <c r="AI45" s="1">
        <v>231578</v>
      </c>
      <c r="AJ45" s="1">
        <v>222441</v>
      </c>
      <c r="AK45" s="1">
        <v>213560</v>
      </c>
      <c r="AL45" s="1">
        <v>205059</v>
      </c>
      <c r="AM45" s="1">
        <v>196470</v>
      </c>
      <c r="AN45" s="1">
        <v>187959</v>
      </c>
      <c r="AO45" s="1">
        <v>179864</v>
      </c>
      <c r="AP45" s="1">
        <v>172420</v>
      </c>
      <c r="AQ45" s="1">
        <v>165755</v>
      </c>
      <c r="AR45" s="1">
        <v>157809</v>
      </c>
      <c r="AS45" s="1">
        <v>148222</v>
      </c>
      <c r="AT45" s="1">
        <v>138312</v>
      </c>
      <c r="AU45" s="1">
        <v>129211</v>
      </c>
      <c r="AV45" s="1">
        <v>120518</v>
      </c>
      <c r="AW45" s="1">
        <v>112331</v>
      </c>
      <c r="AX45" s="1">
        <v>105345</v>
      </c>
      <c r="AY45" s="1">
        <v>99627</v>
      </c>
      <c r="AZ45" s="1">
        <v>94488</v>
      </c>
      <c r="BA45" s="1">
        <v>90283</v>
      </c>
      <c r="BB45" s="1">
        <v>84111</v>
      </c>
      <c r="BC45" s="1">
        <v>75518</v>
      </c>
      <c r="BD45" s="1">
        <v>66489</v>
      </c>
      <c r="BE45" s="1">
        <v>58763</v>
      </c>
      <c r="BF45" s="1">
        <v>51840</v>
      </c>
      <c r="BG45" s="1">
        <v>45251</v>
      </c>
      <c r="BH45" s="1">
        <v>39595</v>
      </c>
      <c r="BI45" s="1">
        <v>35151</v>
      </c>
      <c r="BJ45" s="1">
        <v>31330</v>
      </c>
      <c r="BK45" s="1">
        <v>28156</v>
      </c>
      <c r="BL45" s="1">
        <v>121572</v>
      </c>
    </row>
    <row r="46" spans="1:64" x14ac:dyDescent="0.25">
      <c r="A46" s="23"/>
      <c r="B46" s="1" t="s">
        <v>29</v>
      </c>
      <c r="C46" s="1">
        <v>212312</v>
      </c>
      <c r="D46" s="1">
        <v>200968</v>
      </c>
      <c r="E46" s="1">
        <v>190761</v>
      </c>
      <c r="F46" s="1">
        <v>181459</v>
      </c>
      <c r="G46" s="1">
        <v>172618</v>
      </c>
      <c r="H46" s="1">
        <v>163560</v>
      </c>
      <c r="I46" s="1">
        <v>154951</v>
      </c>
      <c r="J46" s="1">
        <v>147730</v>
      </c>
      <c r="K46" s="1">
        <v>141415</v>
      </c>
      <c r="L46" s="1">
        <v>135677</v>
      </c>
      <c r="M46" s="1">
        <v>129877</v>
      </c>
      <c r="N46" s="1">
        <v>122511</v>
      </c>
      <c r="O46" s="1">
        <v>114024</v>
      </c>
      <c r="P46" s="1">
        <v>105056</v>
      </c>
      <c r="Q46" s="1">
        <v>97047</v>
      </c>
      <c r="R46" s="1">
        <v>88721</v>
      </c>
      <c r="S46" s="1">
        <v>80615</v>
      </c>
      <c r="T46" s="1">
        <v>74089</v>
      </c>
      <c r="U46" s="1">
        <v>68594</v>
      </c>
      <c r="V46" s="1">
        <v>63777</v>
      </c>
      <c r="W46" s="1">
        <v>58944</v>
      </c>
      <c r="X46" s="1">
        <v>52947</v>
      </c>
      <c r="Y46" s="1">
        <v>46506</v>
      </c>
      <c r="Z46" s="1">
        <v>40122</v>
      </c>
      <c r="AA46" s="1">
        <v>34800</v>
      </c>
      <c r="AB46" s="1">
        <v>29608</v>
      </c>
      <c r="AC46" s="1">
        <v>24779</v>
      </c>
      <c r="AD46" s="1">
        <v>21202</v>
      </c>
      <c r="AE46" s="1">
        <v>18429</v>
      </c>
      <c r="AF46" s="1">
        <v>16152</v>
      </c>
      <c r="AG46" s="7">
        <v>67744</v>
      </c>
      <c r="AH46" s="1">
        <v>249925</v>
      </c>
      <c r="AI46" s="1">
        <v>238917</v>
      </c>
      <c r="AJ46" s="1">
        <v>229050</v>
      </c>
      <c r="AK46" s="1">
        <v>220007</v>
      </c>
      <c r="AL46" s="1">
        <v>211218</v>
      </c>
      <c r="AM46" s="1">
        <v>202287</v>
      </c>
      <c r="AN46" s="1">
        <v>193299</v>
      </c>
      <c r="AO46" s="1">
        <v>184927</v>
      </c>
      <c r="AP46" s="1">
        <v>176959</v>
      </c>
      <c r="AQ46" s="1">
        <v>169638</v>
      </c>
      <c r="AR46" s="1">
        <v>162344</v>
      </c>
      <c r="AS46" s="1">
        <v>153838</v>
      </c>
      <c r="AT46" s="1">
        <v>144494</v>
      </c>
      <c r="AU46" s="1">
        <v>134826</v>
      </c>
      <c r="AV46" s="1">
        <v>125948</v>
      </c>
      <c r="AW46" s="1">
        <v>116674</v>
      </c>
      <c r="AX46" s="1">
        <v>107964</v>
      </c>
      <c r="AY46" s="1">
        <v>101249</v>
      </c>
      <c r="AZ46" s="1">
        <v>95751</v>
      </c>
      <c r="BA46" s="1">
        <v>90811</v>
      </c>
      <c r="BB46" s="1">
        <v>85747</v>
      </c>
      <c r="BC46" s="1">
        <v>78873</v>
      </c>
      <c r="BD46" s="1">
        <v>70818</v>
      </c>
      <c r="BE46" s="1">
        <v>62345</v>
      </c>
      <c r="BF46" s="1">
        <v>55098</v>
      </c>
      <c r="BG46" s="1">
        <v>47802</v>
      </c>
      <c r="BH46" s="1">
        <v>40976</v>
      </c>
      <c r="BI46" s="1">
        <v>35854</v>
      </c>
      <c r="BJ46" s="1">
        <v>31829</v>
      </c>
      <c r="BK46" s="1">
        <v>28367</v>
      </c>
      <c r="BL46" s="1">
        <v>125656</v>
      </c>
    </row>
    <row r="47" spans="1:64" x14ac:dyDescent="0.25">
      <c r="A47" s="23"/>
      <c r="B47" s="1" t="s">
        <v>30</v>
      </c>
      <c r="C47" s="1">
        <v>220427</v>
      </c>
      <c r="D47" s="1">
        <v>208536</v>
      </c>
      <c r="E47" s="1">
        <v>197397</v>
      </c>
      <c r="F47" s="1">
        <v>187371</v>
      </c>
      <c r="G47" s="1">
        <v>178239</v>
      </c>
      <c r="H47" s="1">
        <v>168918</v>
      </c>
      <c r="I47" s="1">
        <v>159437</v>
      </c>
      <c r="J47" s="1">
        <v>151046</v>
      </c>
      <c r="K47" s="1">
        <v>144012</v>
      </c>
      <c r="L47" s="1">
        <v>137858</v>
      </c>
      <c r="M47" s="1">
        <v>131380</v>
      </c>
      <c r="N47" s="1">
        <v>124886</v>
      </c>
      <c r="O47" s="1">
        <v>117804</v>
      </c>
      <c r="P47" s="1">
        <v>109643</v>
      </c>
      <c r="Q47" s="1">
        <v>101019</v>
      </c>
      <c r="R47" s="1">
        <v>92414</v>
      </c>
      <c r="S47" s="1">
        <v>83614</v>
      </c>
      <c r="T47" s="1">
        <v>75974</v>
      </c>
      <c r="U47" s="1">
        <v>69823</v>
      </c>
      <c r="V47" s="1">
        <v>64646</v>
      </c>
      <c r="W47" s="1">
        <v>59223</v>
      </c>
      <c r="X47" s="1">
        <v>53857</v>
      </c>
      <c r="Y47" s="1">
        <v>48380</v>
      </c>
      <c r="Z47" s="1">
        <v>42489</v>
      </c>
      <c r="AA47" s="1">
        <v>36655</v>
      </c>
      <c r="AB47" s="1">
        <v>31172</v>
      </c>
      <c r="AC47" s="1">
        <v>25938</v>
      </c>
      <c r="AD47" s="1">
        <v>21706</v>
      </c>
      <c r="AE47" s="1">
        <v>18572</v>
      </c>
      <c r="AF47" s="1">
        <v>16145</v>
      </c>
      <c r="AG47" s="7">
        <v>68179</v>
      </c>
      <c r="AH47" s="1">
        <v>258875</v>
      </c>
      <c r="AI47" s="1">
        <v>247248</v>
      </c>
      <c r="AJ47" s="1">
        <v>236354</v>
      </c>
      <c r="AK47" s="1">
        <v>226588</v>
      </c>
      <c r="AL47" s="1">
        <v>217639</v>
      </c>
      <c r="AM47" s="1">
        <v>208413</v>
      </c>
      <c r="AN47" s="1">
        <v>199082</v>
      </c>
      <c r="AO47" s="1">
        <v>190227</v>
      </c>
      <c r="AP47" s="1">
        <v>181989</v>
      </c>
      <c r="AQ47" s="1">
        <v>174149</v>
      </c>
      <c r="AR47" s="1">
        <v>166195</v>
      </c>
      <c r="AS47" s="1">
        <v>158320</v>
      </c>
      <c r="AT47" s="1">
        <v>150025</v>
      </c>
      <c r="AU47" s="1">
        <v>140914</v>
      </c>
      <c r="AV47" s="1">
        <v>131481</v>
      </c>
      <c r="AW47" s="1">
        <v>121988</v>
      </c>
      <c r="AX47" s="1">
        <v>112210</v>
      </c>
      <c r="AY47" s="1">
        <v>103828</v>
      </c>
      <c r="AZ47" s="1">
        <v>97366</v>
      </c>
      <c r="BA47" s="1">
        <v>92077</v>
      </c>
      <c r="BB47" s="1">
        <v>86317</v>
      </c>
      <c r="BC47" s="1">
        <v>80484</v>
      </c>
      <c r="BD47" s="1">
        <v>74037</v>
      </c>
      <c r="BE47" s="1">
        <v>66470</v>
      </c>
      <c r="BF47" s="1">
        <v>58511</v>
      </c>
      <c r="BG47" s="1">
        <v>50869</v>
      </c>
      <c r="BH47" s="1">
        <v>43346</v>
      </c>
      <c r="BI47" s="1">
        <v>37160</v>
      </c>
      <c r="BJ47" s="1">
        <v>32512</v>
      </c>
      <c r="BK47" s="1">
        <v>28864</v>
      </c>
      <c r="BL47" s="1">
        <v>129490</v>
      </c>
    </row>
    <row r="48" spans="1:64" x14ac:dyDescent="0.25">
      <c r="A48" s="23"/>
      <c r="B48" s="1" t="s">
        <v>31</v>
      </c>
      <c r="C48" s="1">
        <v>228624</v>
      </c>
      <c r="D48" s="1">
        <v>216559</v>
      </c>
      <c r="E48" s="1">
        <v>204873</v>
      </c>
      <c r="F48" s="1">
        <v>193932</v>
      </c>
      <c r="G48" s="1">
        <v>184086</v>
      </c>
      <c r="H48" s="1">
        <v>174464</v>
      </c>
      <c r="I48" s="1">
        <v>164709</v>
      </c>
      <c r="J48" s="1">
        <v>155467</v>
      </c>
      <c r="K48" s="1">
        <v>147285</v>
      </c>
      <c r="L48" s="1">
        <v>140434</v>
      </c>
      <c r="M48" s="1">
        <v>133536</v>
      </c>
      <c r="N48" s="1">
        <v>126380</v>
      </c>
      <c r="O48" s="1">
        <v>120136</v>
      </c>
      <c r="P48" s="1">
        <v>113327</v>
      </c>
      <c r="Q48" s="1">
        <v>105476</v>
      </c>
      <c r="R48" s="1">
        <v>96248</v>
      </c>
      <c r="S48" s="1">
        <v>87149</v>
      </c>
      <c r="T48" s="1">
        <v>78850</v>
      </c>
      <c r="U48" s="1">
        <v>71641</v>
      </c>
      <c r="V48" s="1">
        <v>65840</v>
      </c>
      <c r="W48" s="1">
        <v>60072</v>
      </c>
      <c r="X48" s="1">
        <v>54156</v>
      </c>
      <c r="Y48" s="1">
        <v>49256</v>
      </c>
      <c r="Z48" s="1">
        <v>44242</v>
      </c>
      <c r="AA48" s="1">
        <v>38853</v>
      </c>
      <c r="AB48" s="1">
        <v>32863</v>
      </c>
      <c r="AC48" s="1">
        <v>27342</v>
      </c>
      <c r="AD48" s="1">
        <v>22748</v>
      </c>
      <c r="AE48" s="1">
        <v>19035</v>
      </c>
      <c r="AF48" s="1">
        <v>16287</v>
      </c>
      <c r="AG48" s="7">
        <v>68620</v>
      </c>
      <c r="AH48" s="1">
        <v>267857</v>
      </c>
      <c r="AI48" s="1">
        <v>256151</v>
      </c>
      <c r="AJ48" s="1">
        <v>244644</v>
      </c>
      <c r="AK48" s="1">
        <v>233857</v>
      </c>
      <c r="AL48" s="1">
        <v>224191</v>
      </c>
      <c r="AM48" s="1">
        <v>214800</v>
      </c>
      <c r="AN48" s="1">
        <v>205162</v>
      </c>
      <c r="AO48" s="1">
        <v>195973</v>
      </c>
      <c r="AP48" s="1">
        <v>187250</v>
      </c>
      <c r="AQ48" s="1">
        <v>179145</v>
      </c>
      <c r="AR48" s="1">
        <v>170668</v>
      </c>
      <c r="AS48" s="1">
        <v>162132</v>
      </c>
      <c r="AT48" s="1">
        <v>154452</v>
      </c>
      <c r="AU48" s="1">
        <v>146365</v>
      </c>
      <c r="AV48" s="1">
        <v>137468</v>
      </c>
      <c r="AW48" s="1">
        <v>127412</v>
      </c>
      <c r="AX48" s="1">
        <v>117389</v>
      </c>
      <c r="AY48" s="1">
        <v>107972</v>
      </c>
      <c r="AZ48" s="1">
        <v>99906</v>
      </c>
      <c r="BA48" s="1">
        <v>93684</v>
      </c>
      <c r="BB48" s="1">
        <v>87581</v>
      </c>
      <c r="BC48" s="1">
        <v>81097</v>
      </c>
      <c r="BD48" s="1">
        <v>75616</v>
      </c>
      <c r="BE48" s="1">
        <v>69559</v>
      </c>
      <c r="BF48" s="1">
        <v>62441</v>
      </c>
      <c r="BG48" s="1">
        <v>54078</v>
      </c>
      <c r="BH48" s="1">
        <v>46188</v>
      </c>
      <c r="BI48" s="1">
        <v>39360</v>
      </c>
      <c r="BJ48" s="1">
        <v>33745</v>
      </c>
      <c r="BK48" s="1">
        <v>29526</v>
      </c>
      <c r="BL48" s="1">
        <v>133372</v>
      </c>
    </row>
    <row r="49" spans="1:64" x14ac:dyDescent="0.25">
      <c r="A49" s="23"/>
      <c r="B49" s="1" t="s">
        <v>32</v>
      </c>
      <c r="C49" s="1">
        <v>237040</v>
      </c>
      <c r="D49" s="1">
        <v>224659</v>
      </c>
      <c r="E49" s="1">
        <v>212804</v>
      </c>
      <c r="F49" s="1">
        <v>201320</v>
      </c>
      <c r="G49" s="1">
        <v>190571</v>
      </c>
      <c r="H49" s="1">
        <v>180233</v>
      </c>
      <c r="I49" s="1">
        <v>170167</v>
      </c>
      <c r="J49" s="1">
        <v>160650</v>
      </c>
      <c r="K49" s="1">
        <v>151642</v>
      </c>
      <c r="L49" s="1">
        <v>143665</v>
      </c>
      <c r="M49" s="1">
        <v>136078</v>
      </c>
      <c r="N49" s="1">
        <v>128505</v>
      </c>
      <c r="O49" s="1">
        <v>121620</v>
      </c>
      <c r="P49" s="1">
        <v>115615</v>
      </c>
      <c r="Q49" s="1">
        <v>109068</v>
      </c>
      <c r="R49" s="1">
        <v>100547</v>
      </c>
      <c r="S49" s="1">
        <v>90818</v>
      </c>
      <c r="T49" s="1">
        <v>82233</v>
      </c>
      <c r="U49" s="1">
        <v>74398</v>
      </c>
      <c r="V49" s="1">
        <v>67597</v>
      </c>
      <c r="W49" s="1">
        <v>61218</v>
      </c>
      <c r="X49" s="1">
        <v>54979</v>
      </c>
      <c r="Y49" s="1">
        <v>49567</v>
      </c>
      <c r="Z49" s="1">
        <v>45080</v>
      </c>
      <c r="AA49" s="1">
        <v>40493</v>
      </c>
      <c r="AB49" s="1">
        <v>34868</v>
      </c>
      <c r="AC49" s="1">
        <v>28854</v>
      </c>
      <c r="AD49" s="1">
        <v>24007</v>
      </c>
      <c r="AE49" s="1">
        <v>19973</v>
      </c>
      <c r="AF49" s="1">
        <v>16712</v>
      </c>
      <c r="AG49" s="7">
        <v>69191</v>
      </c>
      <c r="AH49" s="1">
        <v>276943</v>
      </c>
      <c r="AI49" s="1">
        <v>265082</v>
      </c>
      <c r="AJ49" s="1">
        <v>253500</v>
      </c>
      <c r="AK49" s="1">
        <v>242108</v>
      </c>
      <c r="AL49" s="1">
        <v>231426</v>
      </c>
      <c r="AM49" s="1">
        <v>221311</v>
      </c>
      <c r="AN49" s="1">
        <v>211505</v>
      </c>
      <c r="AO49" s="1">
        <v>202009</v>
      </c>
      <c r="AP49" s="1">
        <v>192955</v>
      </c>
      <c r="AQ49" s="1">
        <v>184366</v>
      </c>
      <c r="AR49" s="1">
        <v>175616</v>
      </c>
      <c r="AS49" s="1">
        <v>166554</v>
      </c>
      <c r="AT49" s="1">
        <v>158225</v>
      </c>
      <c r="AU49" s="1">
        <v>150732</v>
      </c>
      <c r="AV49" s="1">
        <v>142844</v>
      </c>
      <c r="AW49" s="1">
        <v>133270</v>
      </c>
      <c r="AX49" s="1">
        <v>122676</v>
      </c>
      <c r="AY49" s="1">
        <v>113020</v>
      </c>
      <c r="AZ49" s="1">
        <v>103950</v>
      </c>
      <c r="BA49" s="1">
        <v>96182</v>
      </c>
      <c r="BB49" s="1">
        <v>89172</v>
      </c>
      <c r="BC49" s="1">
        <v>82358</v>
      </c>
      <c r="BD49" s="1">
        <v>76259</v>
      </c>
      <c r="BE49" s="1">
        <v>71102</v>
      </c>
      <c r="BF49" s="1">
        <v>65403</v>
      </c>
      <c r="BG49" s="1">
        <v>57772</v>
      </c>
      <c r="BH49" s="1">
        <v>49164</v>
      </c>
      <c r="BI49" s="1">
        <v>41992</v>
      </c>
      <c r="BJ49" s="1">
        <v>35789</v>
      </c>
      <c r="BK49" s="1">
        <v>30685</v>
      </c>
      <c r="BL49" s="1">
        <v>137443</v>
      </c>
    </row>
    <row r="50" spans="1:64" x14ac:dyDescent="0.25">
      <c r="A50" s="23"/>
      <c r="B50" s="1" t="s">
        <v>33</v>
      </c>
      <c r="C50" s="1">
        <v>244814</v>
      </c>
      <c r="D50" s="1">
        <v>232981</v>
      </c>
      <c r="E50" s="1">
        <v>220808</v>
      </c>
      <c r="F50" s="1">
        <v>209157</v>
      </c>
      <c r="G50" s="1">
        <v>197876</v>
      </c>
      <c r="H50" s="1">
        <v>186626</v>
      </c>
      <c r="I50" s="1">
        <v>175844</v>
      </c>
      <c r="J50" s="1">
        <v>166023</v>
      </c>
      <c r="K50" s="1">
        <v>156738</v>
      </c>
      <c r="L50" s="1">
        <v>147955</v>
      </c>
      <c r="M50" s="1">
        <v>139253</v>
      </c>
      <c r="N50" s="1">
        <v>131003</v>
      </c>
      <c r="O50" s="1">
        <v>123713</v>
      </c>
      <c r="P50" s="1">
        <v>117087</v>
      </c>
      <c r="Q50" s="1">
        <v>111312</v>
      </c>
      <c r="R50" s="1">
        <v>104017</v>
      </c>
      <c r="S50" s="1">
        <v>94935</v>
      </c>
      <c r="T50" s="1">
        <v>85744</v>
      </c>
      <c r="U50" s="1">
        <v>77640</v>
      </c>
      <c r="V50" s="1">
        <v>70236</v>
      </c>
      <c r="W50" s="1">
        <v>62897</v>
      </c>
      <c r="X50" s="1">
        <v>56070</v>
      </c>
      <c r="Y50" s="1">
        <v>50358</v>
      </c>
      <c r="Z50" s="1">
        <v>45403</v>
      </c>
      <c r="AA50" s="1">
        <v>41289</v>
      </c>
      <c r="AB50" s="1">
        <v>36377</v>
      </c>
      <c r="AC50" s="1">
        <v>30649</v>
      </c>
      <c r="AD50" s="1">
        <v>25362</v>
      </c>
      <c r="AE50" s="1">
        <v>21100</v>
      </c>
      <c r="AF50" s="1">
        <v>17555</v>
      </c>
      <c r="AG50" s="7">
        <v>70105</v>
      </c>
      <c r="AH50" s="1">
        <v>285677</v>
      </c>
      <c r="AI50" s="1">
        <v>274127</v>
      </c>
      <c r="AJ50" s="1">
        <v>262381</v>
      </c>
      <c r="AK50" s="1">
        <v>250915</v>
      </c>
      <c r="AL50" s="1">
        <v>239634</v>
      </c>
      <c r="AM50" s="1">
        <v>228502</v>
      </c>
      <c r="AN50" s="1">
        <v>217968</v>
      </c>
      <c r="AO50" s="1">
        <v>208304</v>
      </c>
      <c r="AP50" s="1">
        <v>198947</v>
      </c>
      <c r="AQ50" s="1">
        <v>190029</v>
      </c>
      <c r="AR50" s="1">
        <v>180783</v>
      </c>
      <c r="AS50" s="1">
        <v>171440</v>
      </c>
      <c r="AT50" s="1">
        <v>162592</v>
      </c>
      <c r="AU50" s="1">
        <v>154465</v>
      </c>
      <c r="AV50" s="1">
        <v>147149</v>
      </c>
      <c r="AW50" s="1">
        <v>138549</v>
      </c>
      <c r="AX50" s="1">
        <v>128378</v>
      </c>
      <c r="AY50" s="1">
        <v>118176</v>
      </c>
      <c r="AZ50" s="1">
        <v>108866</v>
      </c>
      <c r="BA50" s="1">
        <v>100126</v>
      </c>
      <c r="BB50" s="1">
        <v>91611</v>
      </c>
      <c r="BC50" s="1">
        <v>83926</v>
      </c>
      <c r="BD50" s="1">
        <v>77511</v>
      </c>
      <c r="BE50" s="1">
        <v>71766</v>
      </c>
      <c r="BF50" s="1">
        <v>66909</v>
      </c>
      <c r="BG50" s="1">
        <v>60575</v>
      </c>
      <c r="BH50" s="1">
        <v>52583</v>
      </c>
      <c r="BI50" s="1">
        <v>44754</v>
      </c>
      <c r="BJ50" s="1">
        <v>38226</v>
      </c>
      <c r="BK50" s="1">
        <v>32584</v>
      </c>
      <c r="BL50" s="1">
        <v>142110</v>
      </c>
    </row>
    <row r="51" spans="1:64" x14ac:dyDescent="0.25">
      <c r="A51" s="23"/>
      <c r="B51" s="1" t="s">
        <v>34</v>
      </c>
      <c r="C51" s="1">
        <v>251623</v>
      </c>
      <c r="D51" s="1">
        <v>240670</v>
      </c>
      <c r="E51" s="1">
        <v>229034</v>
      </c>
      <c r="F51" s="1">
        <v>217072</v>
      </c>
      <c r="G51" s="1">
        <v>205614</v>
      </c>
      <c r="H51" s="1">
        <v>193829</v>
      </c>
      <c r="I51" s="1">
        <v>182129</v>
      </c>
      <c r="J51" s="1">
        <v>171609</v>
      </c>
      <c r="K51" s="1">
        <v>162029</v>
      </c>
      <c r="L51" s="1">
        <v>152969</v>
      </c>
      <c r="M51" s="1">
        <v>143460</v>
      </c>
      <c r="N51" s="1">
        <v>134107</v>
      </c>
      <c r="O51" s="1">
        <v>126163</v>
      </c>
      <c r="P51" s="1">
        <v>119146</v>
      </c>
      <c r="Q51" s="1">
        <v>112769</v>
      </c>
      <c r="R51" s="1">
        <v>106206</v>
      </c>
      <c r="S51" s="1">
        <v>98264</v>
      </c>
      <c r="T51" s="1">
        <v>89685</v>
      </c>
      <c r="U51" s="1">
        <v>81002</v>
      </c>
      <c r="V51" s="1">
        <v>73340</v>
      </c>
      <c r="W51" s="1">
        <v>65396</v>
      </c>
      <c r="X51" s="1">
        <v>57654</v>
      </c>
      <c r="Y51" s="1">
        <v>51395</v>
      </c>
      <c r="Z51" s="1">
        <v>46163</v>
      </c>
      <c r="AA51" s="1">
        <v>41617</v>
      </c>
      <c r="AB51" s="1">
        <v>37124</v>
      </c>
      <c r="AC51" s="1">
        <v>32009</v>
      </c>
      <c r="AD51" s="1">
        <v>26965</v>
      </c>
      <c r="AE51" s="1">
        <v>22316</v>
      </c>
      <c r="AF51" s="1">
        <v>18566</v>
      </c>
      <c r="AG51" s="7">
        <v>71648</v>
      </c>
      <c r="AH51" s="1">
        <v>293830</v>
      </c>
      <c r="AI51" s="1">
        <v>282817</v>
      </c>
      <c r="AJ51" s="1">
        <v>271377</v>
      </c>
      <c r="AK51" s="1">
        <v>259750</v>
      </c>
      <c r="AL51" s="1">
        <v>248391</v>
      </c>
      <c r="AM51" s="1">
        <v>236653</v>
      </c>
      <c r="AN51" s="1">
        <v>225102</v>
      </c>
      <c r="AO51" s="1">
        <v>214719</v>
      </c>
      <c r="AP51" s="1">
        <v>205194</v>
      </c>
      <c r="AQ51" s="1">
        <v>195975</v>
      </c>
      <c r="AR51" s="1">
        <v>186390</v>
      </c>
      <c r="AS51" s="1">
        <v>176540</v>
      </c>
      <c r="AT51" s="1">
        <v>167412</v>
      </c>
      <c r="AU51" s="1">
        <v>158776</v>
      </c>
      <c r="AV51" s="1">
        <v>150843</v>
      </c>
      <c r="AW51" s="1">
        <v>142776</v>
      </c>
      <c r="AX51" s="1">
        <v>133530</v>
      </c>
      <c r="AY51" s="1">
        <v>123725</v>
      </c>
      <c r="AZ51" s="1">
        <v>113891</v>
      </c>
      <c r="BA51" s="1">
        <v>104918</v>
      </c>
      <c r="BB51" s="1">
        <v>95424</v>
      </c>
      <c r="BC51" s="1">
        <v>86294</v>
      </c>
      <c r="BD51" s="1">
        <v>79047</v>
      </c>
      <c r="BE51" s="1">
        <v>73003</v>
      </c>
      <c r="BF51" s="1">
        <v>67591</v>
      </c>
      <c r="BG51" s="1">
        <v>62029</v>
      </c>
      <c r="BH51" s="1">
        <v>55201</v>
      </c>
      <c r="BI51" s="1">
        <v>47920</v>
      </c>
      <c r="BJ51" s="1">
        <v>40790</v>
      </c>
      <c r="BK51" s="1">
        <v>34840</v>
      </c>
      <c r="BL51" s="1">
        <v>147922</v>
      </c>
    </row>
    <row r="52" spans="1:64" x14ac:dyDescent="0.25">
      <c r="A52" s="23" t="s">
        <v>59</v>
      </c>
      <c r="B52" s="1" t="s">
        <v>20</v>
      </c>
      <c r="C52" s="1">
        <v>316299</v>
      </c>
      <c r="D52" s="1">
        <v>299066</v>
      </c>
      <c r="E52" s="1">
        <v>281781</v>
      </c>
      <c r="F52" s="1">
        <v>264306</v>
      </c>
      <c r="G52" s="1">
        <v>247022</v>
      </c>
      <c r="H52" s="1">
        <v>230202</v>
      </c>
      <c r="I52" s="1">
        <v>213510</v>
      </c>
      <c r="J52" s="1">
        <v>199070</v>
      </c>
      <c r="K52" s="1">
        <v>187883</v>
      </c>
      <c r="L52" s="1">
        <v>178883</v>
      </c>
      <c r="M52" s="1">
        <v>170092</v>
      </c>
      <c r="N52" s="1">
        <v>162003</v>
      </c>
      <c r="O52" s="1">
        <v>153168</v>
      </c>
      <c r="P52" s="1">
        <v>142698</v>
      </c>
      <c r="Q52" s="1">
        <v>131324</v>
      </c>
      <c r="R52" s="1">
        <v>120635</v>
      </c>
      <c r="S52" s="1">
        <v>110265</v>
      </c>
      <c r="T52" s="1">
        <v>100581</v>
      </c>
      <c r="U52" s="1">
        <v>91913</v>
      </c>
      <c r="V52" s="1">
        <v>83978</v>
      </c>
      <c r="W52" s="1">
        <v>76133</v>
      </c>
      <c r="X52" s="1">
        <v>68460</v>
      </c>
      <c r="Y52" s="1">
        <v>61042</v>
      </c>
      <c r="Z52" s="1">
        <v>53845</v>
      </c>
      <c r="AA52" s="1">
        <v>46828</v>
      </c>
      <c r="AB52" s="1">
        <v>39956</v>
      </c>
      <c r="AC52" s="1">
        <v>33190</v>
      </c>
      <c r="AD52" s="1">
        <v>26494</v>
      </c>
      <c r="AE52" s="1">
        <v>19828</v>
      </c>
      <c r="AF52" s="1">
        <v>13155</v>
      </c>
      <c r="AG52" s="7">
        <v>57293</v>
      </c>
      <c r="AH52" s="1">
        <v>366301</v>
      </c>
      <c r="AI52" s="1">
        <v>348866</v>
      </c>
      <c r="AJ52" s="1">
        <v>331070</v>
      </c>
      <c r="AK52" s="1">
        <v>312612</v>
      </c>
      <c r="AL52" s="1">
        <v>294084</v>
      </c>
      <c r="AM52" s="1">
        <v>276072</v>
      </c>
      <c r="AN52" s="1">
        <v>258088</v>
      </c>
      <c r="AO52" s="1">
        <v>242901</v>
      </c>
      <c r="AP52" s="1">
        <v>231830</v>
      </c>
      <c r="AQ52" s="1">
        <v>223482</v>
      </c>
      <c r="AR52" s="1">
        <v>215228</v>
      </c>
      <c r="AS52" s="1">
        <v>207696</v>
      </c>
      <c r="AT52" s="1">
        <v>199160</v>
      </c>
      <c r="AU52" s="1">
        <v>188530</v>
      </c>
      <c r="AV52" s="1">
        <v>176672</v>
      </c>
      <c r="AW52" s="1">
        <v>165450</v>
      </c>
      <c r="AX52" s="1">
        <v>154378</v>
      </c>
      <c r="AY52" s="1">
        <v>144038</v>
      </c>
      <c r="AZ52" s="1">
        <v>134872</v>
      </c>
      <c r="BA52" s="1">
        <v>126426</v>
      </c>
      <c r="BB52" s="1">
        <v>117716</v>
      </c>
      <c r="BC52" s="1">
        <v>108826</v>
      </c>
      <c r="BD52" s="1">
        <v>99839</v>
      </c>
      <c r="BE52" s="1">
        <v>90660</v>
      </c>
      <c r="BF52" s="1">
        <v>81195</v>
      </c>
      <c r="BG52" s="1">
        <v>71350</v>
      </c>
      <c r="BH52" s="1">
        <v>61030</v>
      </c>
      <c r="BI52" s="1">
        <v>50138</v>
      </c>
      <c r="BJ52" s="1">
        <v>38583</v>
      </c>
      <c r="BK52" s="1">
        <v>26268</v>
      </c>
      <c r="BL52" s="1">
        <v>131402</v>
      </c>
    </row>
    <row r="53" spans="1:64" x14ac:dyDescent="0.25">
      <c r="A53" s="23"/>
      <c r="B53" s="1" t="s">
        <v>21</v>
      </c>
      <c r="C53" s="1">
        <v>328764</v>
      </c>
      <c r="D53" s="1">
        <v>310794</v>
      </c>
      <c r="E53" s="1">
        <v>293850</v>
      </c>
      <c r="F53" s="1">
        <v>276860</v>
      </c>
      <c r="G53" s="1">
        <v>259682</v>
      </c>
      <c r="H53" s="1">
        <v>241726</v>
      </c>
      <c r="I53" s="1">
        <v>224321</v>
      </c>
      <c r="J53" s="1">
        <v>208049</v>
      </c>
      <c r="K53" s="1">
        <v>193973</v>
      </c>
      <c r="L53" s="1">
        <v>183066</v>
      </c>
      <c r="M53" s="1">
        <v>173291</v>
      </c>
      <c r="N53" s="1">
        <v>163780</v>
      </c>
      <c r="O53" s="1">
        <v>155990</v>
      </c>
      <c r="P53" s="1">
        <v>147481</v>
      </c>
      <c r="Q53" s="1">
        <v>137398</v>
      </c>
      <c r="R53" s="1">
        <v>125218</v>
      </c>
      <c r="S53" s="1">
        <v>113827</v>
      </c>
      <c r="T53" s="1">
        <v>104045</v>
      </c>
      <c r="U53" s="1">
        <v>94907</v>
      </c>
      <c r="V53" s="1">
        <v>86725</v>
      </c>
      <c r="W53" s="1">
        <v>78237</v>
      </c>
      <c r="X53" s="1">
        <v>69952</v>
      </c>
      <c r="Y53" s="1">
        <v>62902</v>
      </c>
      <c r="Z53" s="1">
        <v>56086</v>
      </c>
      <c r="AA53" s="1">
        <v>49474</v>
      </c>
      <c r="AB53" s="1">
        <v>42155</v>
      </c>
      <c r="AC53" s="1">
        <v>35146</v>
      </c>
      <c r="AD53" s="1">
        <v>29195</v>
      </c>
      <c r="AE53" s="1">
        <v>23308</v>
      </c>
      <c r="AF53" s="1">
        <v>17447</v>
      </c>
      <c r="AG53" s="7">
        <v>59032</v>
      </c>
      <c r="AH53" s="1">
        <v>380929</v>
      </c>
      <c r="AI53" s="1">
        <v>362742</v>
      </c>
      <c r="AJ53" s="1">
        <v>345475</v>
      </c>
      <c r="AK53" s="1">
        <v>327851</v>
      </c>
      <c r="AL53" s="1">
        <v>309571</v>
      </c>
      <c r="AM53" s="1">
        <v>290449</v>
      </c>
      <c r="AN53" s="1">
        <v>271917</v>
      </c>
      <c r="AO53" s="1">
        <v>254203</v>
      </c>
      <c r="AP53" s="1">
        <v>239244</v>
      </c>
      <c r="AQ53" s="1">
        <v>228343</v>
      </c>
      <c r="AR53" s="1">
        <v>219133</v>
      </c>
      <c r="AS53" s="1">
        <v>210060</v>
      </c>
      <c r="AT53" s="1">
        <v>202707</v>
      </c>
      <c r="AU53" s="1">
        <v>194375</v>
      </c>
      <c r="AV53" s="1">
        <v>184000</v>
      </c>
      <c r="AW53" s="1">
        <v>171176</v>
      </c>
      <c r="AX53" s="1">
        <v>159080</v>
      </c>
      <c r="AY53" s="1">
        <v>148434</v>
      </c>
      <c r="AZ53" s="1">
        <v>138491</v>
      </c>
      <c r="BA53" s="1">
        <v>129679</v>
      </c>
      <c r="BB53" s="1">
        <v>120059</v>
      </c>
      <c r="BC53" s="1">
        <v>110303</v>
      </c>
      <c r="BD53" s="1">
        <v>101975</v>
      </c>
      <c r="BE53" s="1">
        <v>93552</v>
      </c>
      <c r="BF53" s="1">
        <v>84952</v>
      </c>
      <c r="BG53" s="1">
        <v>74540</v>
      </c>
      <c r="BH53" s="1">
        <v>64025</v>
      </c>
      <c r="BI53" s="1">
        <v>54767</v>
      </c>
      <c r="BJ53" s="1">
        <v>44992</v>
      </c>
      <c r="BK53" s="1">
        <v>34625</v>
      </c>
      <c r="BL53" s="1">
        <v>136988</v>
      </c>
    </row>
    <row r="54" spans="1:64" x14ac:dyDescent="0.25">
      <c r="A54" s="23"/>
      <c r="B54" s="1" t="s">
        <v>22</v>
      </c>
      <c r="C54" s="1">
        <v>341675</v>
      </c>
      <c r="D54" s="1">
        <v>323191</v>
      </c>
      <c r="E54" s="1">
        <v>305516</v>
      </c>
      <c r="F54" s="1">
        <v>288852</v>
      </c>
      <c r="G54" s="1">
        <v>272144</v>
      </c>
      <c r="H54" s="1">
        <v>254258</v>
      </c>
      <c r="I54" s="1">
        <v>235707</v>
      </c>
      <c r="J54" s="1">
        <v>218729</v>
      </c>
      <c r="K54" s="1">
        <v>202854</v>
      </c>
      <c r="L54" s="1">
        <v>189124</v>
      </c>
      <c r="M54" s="1">
        <v>177477</v>
      </c>
      <c r="N54" s="1">
        <v>167000</v>
      </c>
      <c r="O54" s="1">
        <v>157832</v>
      </c>
      <c r="P54" s="1">
        <v>150325</v>
      </c>
      <c r="Q54" s="1">
        <v>142123</v>
      </c>
      <c r="R54" s="1">
        <v>131142</v>
      </c>
      <c r="S54" s="1">
        <v>118297</v>
      </c>
      <c r="T54" s="1">
        <v>107538</v>
      </c>
      <c r="U54" s="1">
        <v>98296</v>
      </c>
      <c r="V54" s="1">
        <v>89662</v>
      </c>
      <c r="W54" s="1">
        <v>80907</v>
      </c>
      <c r="X54" s="1">
        <v>72002</v>
      </c>
      <c r="Y54" s="1">
        <v>64373</v>
      </c>
      <c r="Z54" s="1">
        <v>57887</v>
      </c>
      <c r="AA54" s="1">
        <v>51616</v>
      </c>
      <c r="AB54" s="1">
        <v>44620</v>
      </c>
      <c r="AC54" s="1">
        <v>37166</v>
      </c>
      <c r="AD54" s="1">
        <v>30984</v>
      </c>
      <c r="AE54" s="1">
        <v>25739</v>
      </c>
      <c r="AF54" s="1">
        <v>20551</v>
      </c>
      <c r="AG54" s="7">
        <v>64251</v>
      </c>
      <c r="AH54" s="1">
        <v>395910</v>
      </c>
      <c r="AI54" s="1">
        <v>377304</v>
      </c>
      <c r="AJ54" s="1">
        <v>359290</v>
      </c>
      <c r="AK54" s="1">
        <v>342186</v>
      </c>
      <c r="AL54" s="1">
        <v>324727</v>
      </c>
      <c r="AM54" s="1">
        <v>305823</v>
      </c>
      <c r="AN54" s="1">
        <v>286163</v>
      </c>
      <c r="AO54" s="1">
        <v>267904</v>
      </c>
      <c r="AP54" s="1">
        <v>250454</v>
      </c>
      <c r="AQ54" s="1">
        <v>235715</v>
      </c>
      <c r="AR54" s="1">
        <v>223986</v>
      </c>
      <c r="AS54" s="1">
        <v>213970</v>
      </c>
      <c r="AT54" s="1">
        <v>205110</v>
      </c>
      <c r="AU54" s="1">
        <v>197931</v>
      </c>
      <c r="AV54" s="1">
        <v>189793</v>
      </c>
      <c r="AW54" s="1">
        <v>178382</v>
      </c>
      <c r="AX54" s="1">
        <v>164709</v>
      </c>
      <c r="AY54" s="1">
        <v>153070</v>
      </c>
      <c r="AZ54" s="1">
        <v>142827</v>
      </c>
      <c r="BA54" s="1">
        <v>133256</v>
      </c>
      <c r="BB54" s="1">
        <v>123269</v>
      </c>
      <c r="BC54" s="1">
        <v>112642</v>
      </c>
      <c r="BD54" s="1">
        <v>103489</v>
      </c>
      <c r="BE54" s="1">
        <v>95674</v>
      </c>
      <c r="BF54" s="1">
        <v>87774</v>
      </c>
      <c r="BG54" s="1">
        <v>78120</v>
      </c>
      <c r="BH54" s="1">
        <v>67035</v>
      </c>
      <c r="BI54" s="1">
        <v>57577</v>
      </c>
      <c r="BJ54" s="1">
        <v>49254</v>
      </c>
      <c r="BK54" s="1">
        <v>40463</v>
      </c>
      <c r="BL54" s="1">
        <v>149362</v>
      </c>
    </row>
    <row r="55" spans="1:64" x14ac:dyDescent="0.25">
      <c r="A55" s="23"/>
      <c r="B55" s="1" t="s">
        <v>23</v>
      </c>
      <c r="C55" s="1">
        <v>354785</v>
      </c>
      <c r="D55" s="1">
        <v>336031</v>
      </c>
      <c r="E55" s="1">
        <v>317844</v>
      </c>
      <c r="F55" s="1">
        <v>300450</v>
      </c>
      <c r="G55" s="1">
        <v>284059</v>
      </c>
      <c r="H55" s="1">
        <v>266600</v>
      </c>
      <c r="I55" s="1">
        <v>248082</v>
      </c>
      <c r="J55" s="1">
        <v>229974</v>
      </c>
      <c r="K55" s="1">
        <v>213402</v>
      </c>
      <c r="L55" s="1">
        <v>197906</v>
      </c>
      <c r="M55" s="1">
        <v>183478</v>
      </c>
      <c r="N55" s="1">
        <v>171171</v>
      </c>
      <c r="O55" s="1">
        <v>161063</v>
      </c>
      <c r="P55" s="1">
        <v>152218</v>
      </c>
      <c r="Q55" s="1">
        <v>144979</v>
      </c>
      <c r="R55" s="1">
        <v>135781</v>
      </c>
      <c r="S55" s="1">
        <v>124038</v>
      </c>
      <c r="T55" s="1">
        <v>111888</v>
      </c>
      <c r="U55" s="1">
        <v>101714</v>
      </c>
      <c r="V55" s="1">
        <v>92972</v>
      </c>
      <c r="W55" s="1">
        <v>83757</v>
      </c>
      <c r="X55" s="1">
        <v>74569</v>
      </c>
      <c r="Y55" s="1">
        <v>66360</v>
      </c>
      <c r="Z55" s="1">
        <v>59329</v>
      </c>
      <c r="AA55" s="1">
        <v>53351</v>
      </c>
      <c r="AB55" s="1">
        <v>46634</v>
      </c>
      <c r="AC55" s="1">
        <v>39423</v>
      </c>
      <c r="AD55" s="1">
        <v>32835</v>
      </c>
      <c r="AE55" s="1">
        <v>27375</v>
      </c>
      <c r="AF55" s="1">
        <v>22739</v>
      </c>
      <c r="AG55" s="7">
        <v>71357</v>
      </c>
      <c r="AH55" s="1">
        <v>411200</v>
      </c>
      <c r="AI55" s="1">
        <v>392221</v>
      </c>
      <c r="AJ55" s="1">
        <v>373786</v>
      </c>
      <c r="AK55" s="1">
        <v>355939</v>
      </c>
      <c r="AL55" s="1">
        <v>338991</v>
      </c>
      <c r="AM55" s="1">
        <v>320872</v>
      </c>
      <c r="AN55" s="1">
        <v>301397</v>
      </c>
      <c r="AO55" s="1">
        <v>282020</v>
      </c>
      <c r="AP55" s="1">
        <v>264028</v>
      </c>
      <c r="AQ55" s="1">
        <v>246834</v>
      </c>
      <c r="AR55" s="1">
        <v>231300</v>
      </c>
      <c r="AS55" s="1">
        <v>218806</v>
      </c>
      <c r="AT55" s="1">
        <v>209023</v>
      </c>
      <c r="AU55" s="1">
        <v>200365</v>
      </c>
      <c r="AV55" s="1">
        <v>193352</v>
      </c>
      <c r="AW55" s="1">
        <v>184103</v>
      </c>
      <c r="AX55" s="1">
        <v>171765</v>
      </c>
      <c r="AY55" s="1">
        <v>158600</v>
      </c>
      <c r="AZ55" s="1">
        <v>147390</v>
      </c>
      <c r="BA55" s="1">
        <v>137529</v>
      </c>
      <c r="BB55" s="1">
        <v>126788</v>
      </c>
      <c r="BC55" s="1">
        <v>115793</v>
      </c>
      <c r="BD55" s="1">
        <v>105810</v>
      </c>
      <c r="BE55" s="1">
        <v>97214</v>
      </c>
      <c r="BF55" s="1">
        <v>89872</v>
      </c>
      <c r="BG55" s="1">
        <v>80845</v>
      </c>
      <c r="BH55" s="1">
        <v>70399</v>
      </c>
      <c r="BI55" s="1">
        <v>60411</v>
      </c>
      <c r="BJ55" s="1">
        <v>51888</v>
      </c>
      <c r="BK55" s="1">
        <v>44388</v>
      </c>
      <c r="BL55" s="1">
        <v>165421</v>
      </c>
    </row>
    <row r="56" spans="1:64" x14ac:dyDescent="0.25">
      <c r="A56" s="23"/>
      <c r="B56" s="1" t="s">
        <v>24</v>
      </c>
      <c r="C56" s="1">
        <v>368286</v>
      </c>
      <c r="D56" s="1">
        <v>349067</v>
      </c>
      <c r="E56" s="1">
        <v>330606</v>
      </c>
      <c r="F56" s="1">
        <v>312709</v>
      </c>
      <c r="G56" s="1">
        <v>295585</v>
      </c>
      <c r="H56" s="1">
        <v>278411</v>
      </c>
      <c r="I56" s="1">
        <v>260277</v>
      </c>
      <c r="J56" s="1">
        <v>242191</v>
      </c>
      <c r="K56" s="1">
        <v>224506</v>
      </c>
      <c r="L56" s="1">
        <v>208322</v>
      </c>
      <c r="M56" s="1">
        <v>192124</v>
      </c>
      <c r="N56" s="1">
        <v>177089</v>
      </c>
      <c r="O56" s="1">
        <v>165208</v>
      </c>
      <c r="P56" s="1">
        <v>155451</v>
      </c>
      <c r="Q56" s="1">
        <v>146912</v>
      </c>
      <c r="R56" s="1">
        <v>138635</v>
      </c>
      <c r="S56" s="1">
        <v>128564</v>
      </c>
      <c r="T56" s="1">
        <v>117446</v>
      </c>
      <c r="U56" s="1">
        <v>105943</v>
      </c>
      <c r="V56" s="1">
        <v>96309</v>
      </c>
      <c r="W56" s="1">
        <v>86957</v>
      </c>
      <c r="X56" s="1">
        <v>77302</v>
      </c>
      <c r="Y56" s="1">
        <v>68824</v>
      </c>
      <c r="Z56" s="1">
        <v>61244</v>
      </c>
      <c r="AA56" s="1">
        <v>54759</v>
      </c>
      <c r="AB56" s="1">
        <v>48282</v>
      </c>
      <c r="AC56" s="1">
        <v>41284</v>
      </c>
      <c r="AD56" s="1">
        <v>34899</v>
      </c>
      <c r="AE56" s="1">
        <v>29068</v>
      </c>
      <c r="AF56" s="1">
        <v>24231</v>
      </c>
      <c r="AG56" s="7">
        <v>79261</v>
      </c>
      <c r="AH56" s="1">
        <v>427050</v>
      </c>
      <c r="AI56" s="1">
        <v>407444</v>
      </c>
      <c r="AJ56" s="1">
        <v>388636</v>
      </c>
      <c r="AK56" s="1">
        <v>370370</v>
      </c>
      <c r="AL56" s="1">
        <v>352684</v>
      </c>
      <c r="AM56" s="1">
        <v>335042</v>
      </c>
      <c r="AN56" s="1">
        <v>316316</v>
      </c>
      <c r="AO56" s="1">
        <v>297115</v>
      </c>
      <c r="AP56" s="1">
        <v>278017</v>
      </c>
      <c r="AQ56" s="1">
        <v>260279</v>
      </c>
      <c r="AR56" s="1">
        <v>242295</v>
      </c>
      <c r="AS56" s="1">
        <v>226048</v>
      </c>
      <c r="AT56" s="1">
        <v>213836</v>
      </c>
      <c r="AU56" s="1">
        <v>204274</v>
      </c>
      <c r="AV56" s="1">
        <v>195813</v>
      </c>
      <c r="AW56" s="1">
        <v>187659</v>
      </c>
      <c r="AX56" s="1">
        <v>177394</v>
      </c>
      <c r="AY56" s="1">
        <v>165505</v>
      </c>
      <c r="AZ56" s="1">
        <v>152822</v>
      </c>
      <c r="BA56" s="1">
        <v>142017</v>
      </c>
      <c r="BB56" s="1">
        <v>130972</v>
      </c>
      <c r="BC56" s="1">
        <v>119235</v>
      </c>
      <c r="BD56" s="1">
        <v>108896</v>
      </c>
      <c r="BE56" s="1">
        <v>99508</v>
      </c>
      <c r="BF56" s="1">
        <v>91423</v>
      </c>
      <c r="BG56" s="1">
        <v>82903</v>
      </c>
      <c r="BH56" s="1">
        <v>72999</v>
      </c>
      <c r="BI56" s="1">
        <v>63569</v>
      </c>
      <c r="BJ56" s="1">
        <v>54550</v>
      </c>
      <c r="BK56" s="1">
        <v>46854</v>
      </c>
      <c r="BL56" s="1">
        <v>183010</v>
      </c>
    </row>
    <row r="57" spans="1:64" x14ac:dyDescent="0.25">
      <c r="A57" s="23"/>
      <c r="B57" s="1" t="s">
        <v>25</v>
      </c>
      <c r="C57" s="1">
        <v>381733</v>
      </c>
      <c r="D57" s="1">
        <v>362489</v>
      </c>
      <c r="E57" s="1">
        <v>343566</v>
      </c>
      <c r="F57" s="1">
        <v>325389</v>
      </c>
      <c r="G57" s="1">
        <v>307767</v>
      </c>
      <c r="H57" s="1">
        <v>289846</v>
      </c>
      <c r="I57" s="1">
        <v>271958</v>
      </c>
      <c r="J57" s="1">
        <v>254238</v>
      </c>
      <c r="K57" s="1">
        <v>236564</v>
      </c>
      <c r="L57" s="1">
        <v>219282</v>
      </c>
      <c r="M57" s="1">
        <v>202362</v>
      </c>
      <c r="N57" s="1">
        <v>185562</v>
      </c>
      <c r="O57" s="1">
        <v>171041</v>
      </c>
      <c r="P57" s="1">
        <v>159562</v>
      </c>
      <c r="Q57" s="1">
        <v>150139</v>
      </c>
      <c r="R57" s="1">
        <v>140602</v>
      </c>
      <c r="S57" s="1">
        <v>131403</v>
      </c>
      <c r="T57" s="1">
        <v>121856</v>
      </c>
      <c r="U57" s="1">
        <v>111317</v>
      </c>
      <c r="V57" s="1">
        <v>100417</v>
      </c>
      <c r="W57" s="1">
        <v>90181</v>
      </c>
      <c r="X57" s="1">
        <v>80360</v>
      </c>
      <c r="Y57" s="1">
        <v>71438</v>
      </c>
      <c r="Z57" s="1">
        <v>63604</v>
      </c>
      <c r="AA57" s="1">
        <v>56600</v>
      </c>
      <c r="AB57" s="1">
        <v>49634</v>
      </c>
      <c r="AC57" s="1">
        <v>42822</v>
      </c>
      <c r="AD57" s="1">
        <v>36615</v>
      </c>
      <c r="AE57" s="1">
        <v>30953</v>
      </c>
      <c r="AF57" s="1">
        <v>25782</v>
      </c>
      <c r="AG57" s="7">
        <v>87243</v>
      </c>
      <c r="AH57" s="1">
        <v>442948</v>
      </c>
      <c r="AI57" s="1">
        <v>423227</v>
      </c>
      <c r="AJ57" s="1">
        <v>403791</v>
      </c>
      <c r="AK57" s="1">
        <v>385150</v>
      </c>
      <c r="AL57" s="1">
        <v>367048</v>
      </c>
      <c r="AM57" s="1">
        <v>348655</v>
      </c>
      <c r="AN57" s="1">
        <v>330372</v>
      </c>
      <c r="AO57" s="1">
        <v>311904</v>
      </c>
      <c r="AP57" s="1">
        <v>292972</v>
      </c>
      <c r="AQ57" s="1">
        <v>274143</v>
      </c>
      <c r="AR57" s="1">
        <v>255577</v>
      </c>
      <c r="AS57" s="1">
        <v>236887</v>
      </c>
      <c r="AT57" s="1">
        <v>221004</v>
      </c>
      <c r="AU57" s="1">
        <v>209062</v>
      </c>
      <c r="AV57" s="1">
        <v>199713</v>
      </c>
      <c r="AW57" s="1">
        <v>190148</v>
      </c>
      <c r="AX57" s="1">
        <v>180935</v>
      </c>
      <c r="AY57" s="1">
        <v>171041</v>
      </c>
      <c r="AZ57" s="1">
        <v>159576</v>
      </c>
      <c r="BA57" s="1">
        <v>147350</v>
      </c>
      <c r="BB57" s="1">
        <v>135361</v>
      </c>
      <c r="BC57" s="1">
        <v>123305</v>
      </c>
      <c r="BD57" s="1">
        <v>112255</v>
      </c>
      <c r="BE57" s="1">
        <v>102523</v>
      </c>
      <c r="BF57" s="1">
        <v>93682</v>
      </c>
      <c r="BG57" s="1">
        <v>84457</v>
      </c>
      <c r="BH57" s="1">
        <v>75000</v>
      </c>
      <c r="BI57" s="1">
        <v>66040</v>
      </c>
      <c r="BJ57" s="1">
        <v>57511</v>
      </c>
      <c r="BK57" s="1">
        <v>49352</v>
      </c>
      <c r="BL57" s="1">
        <v>200657</v>
      </c>
    </row>
    <row r="58" spans="1:64" x14ac:dyDescent="0.25">
      <c r="A58" s="23"/>
      <c r="B58" s="1" t="s">
        <v>26</v>
      </c>
      <c r="C58" s="1">
        <v>395284</v>
      </c>
      <c r="D58" s="1">
        <v>375859</v>
      </c>
      <c r="E58" s="1">
        <v>356905</v>
      </c>
      <c r="F58" s="1">
        <v>338267</v>
      </c>
      <c r="G58" s="1">
        <v>320365</v>
      </c>
      <c r="H58" s="1">
        <v>301925</v>
      </c>
      <c r="I58" s="1">
        <v>283275</v>
      </c>
      <c r="J58" s="1">
        <v>265788</v>
      </c>
      <c r="K58" s="1">
        <v>248462</v>
      </c>
      <c r="L58" s="1">
        <v>231182</v>
      </c>
      <c r="M58" s="1">
        <v>213130</v>
      </c>
      <c r="N58" s="1">
        <v>195580</v>
      </c>
      <c r="O58" s="1">
        <v>179341</v>
      </c>
      <c r="P58" s="1">
        <v>165307</v>
      </c>
      <c r="Q58" s="1">
        <v>154207</v>
      </c>
      <c r="R58" s="1">
        <v>143807</v>
      </c>
      <c r="S58" s="1">
        <v>133394</v>
      </c>
      <c r="T58" s="1">
        <v>124667</v>
      </c>
      <c r="U58" s="1">
        <v>115611</v>
      </c>
      <c r="V58" s="1">
        <v>105611</v>
      </c>
      <c r="W58" s="1">
        <v>94127</v>
      </c>
      <c r="X58" s="1">
        <v>83441</v>
      </c>
      <c r="Y58" s="1">
        <v>74355</v>
      </c>
      <c r="Z58" s="1">
        <v>66102</v>
      </c>
      <c r="AA58" s="1">
        <v>58852</v>
      </c>
      <c r="AB58" s="1">
        <v>51378</v>
      </c>
      <c r="AC58" s="1">
        <v>44100</v>
      </c>
      <c r="AD58" s="1">
        <v>38047</v>
      </c>
      <c r="AE58" s="1">
        <v>32532</v>
      </c>
      <c r="AF58" s="1">
        <v>27500</v>
      </c>
      <c r="AG58" s="7">
        <v>95356</v>
      </c>
      <c r="AH58" s="1">
        <v>458608</v>
      </c>
      <c r="AI58" s="1">
        <v>439055</v>
      </c>
      <c r="AJ58" s="1">
        <v>419504</v>
      </c>
      <c r="AK58" s="1">
        <v>400239</v>
      </c>
      <c r="AL58" s="1">
        <v>381760</v>
      </c>
      <c r="AM58" s="1">
        <v>362930</v>
      </c>
      <c r="AN58" s="1">
        <v>343879</v>
      </c>
      <c r="AO58" s="1">
        <v>325847</v>
      </c>
      <c r="AP58" s="1">
        <v>307631</v>
      </c>
      <c r="AQ58" s="1">
        <v>288960</v>
      </c>
      <c r="AR58" s="1">
        <v>269277</v>
      </c>
      <c r="AS58" s="1">
        <v>249969</v>
      </c>
      <c r="AT58" s="1">
        <v>231689</v>
      </c>
      <c r="AU58" s="1">
        <v>216152</v>
      </c>
      <c r="AV58" s="1">
        <v>204475</v>
      </c>
      <c r="AW58" s="1">
        <v>194029</v>
      </c>
      <c r="AX58" s="1">
        <v>183450</v>
      </c>
      <c r="AY58" s="1">
        <v>174562</v>
      </c>
      <c r="AZ58" s="1">
        <v>165015</v>
      </c>
      <c r="BA58" s="1">
        <v>153954</v>
      </c>
      <c r="BB58" s="1">
        <v>140559</v>
      </c>
      <c r="BC58" s="1">
        <v>127572</v>
      </c>
      <c r="BD58" s="1">
        <v>116207</v>
      </c>
      <c r="BE58" s="1">
        <v>105794</v>
      </c>
      <c r="BF58" s="1">
        <v>96624</v>
      </c>
      <c r="BG58" s="1">
        <v>86663</v>
      </c>
      <c r="BH58" s="1">
        <v>76544</v>
      </c>
      <c r="BI58" s="1">
        <v>67973</v>
      </c>
      <c r="BJ58" s="1">
        <v>59854</v>
      </c>
      <c r="BK58" s="1">
        <v>52124</v>
      </c>
      <c r="BL58" s="1">
        <v>218410</v>
      </c>
    </row>
    <row r="59" spans="1:64" x14ac:dyDescent="0.25">
      <c r="A59" s="23"/>
      <c r="B59" s="1" t="s">
        <v>27</v>
      </c>
      <c r="C59" s="1">
        <v>409173</v>
      </c>
      <c r="D59" s="1">
        <v>389333</v>
      </c>
      <c r="E59" s="1">
        <v>370194</v>
      </c>
      <c r="F59" s="1">
        <v>351520</v>
      </c>
      <c r="G59" s="1">
        <v>333159</v>
      </c>
      <c r="H59" s="1">
        <v>314413</v>
      </c>
      <c r="I59" s="1">
        <v>295229</v>
      </c>
      <c r="J59" s="1">
        <v>276983</v>
      </c>
      <c r="K59" s="1">
        <v>259879</v>
      </c>
      <c r="L59" s="1">
        <v>242930</v>
      </c>
      <c r="M59" s="1">
        <v>224821</v>
      </c>
      <c r="N59" s="1">
        <v>206112</v>
      </c>
      <c r="O59" s="1">
        <v>189139</v>
      </c>
      <c r="P59" s="1">
        <v>173435</v>
      </c>
      <c r="Q59" s="1">
        <v>159861</v>
      </c>
      <c r="R59" s="1">
        <v>147812</v>
      </c>
      <c r="S59" s="1">
        <v>136561</v>
      </c>
      <c r="T59" s="1">
        <v>126669</v>
      </c>
      <c r="U59" s="1">
        <v>118385</v>
      </c>
      <c r="V59" s="1">
        <v>109783</v>
      </c>
      <c r="W59" s="1">
        <v>99096</v>
      </c>
      <c r="X59" s="1">
        <v>87192</v>
      </c>
      <c r="Y59" s="1">
        <v>77293</v>
      </c>
      <c r="Z59" s="1">
        <v>68879</v>
      </c>
      <c r="AA59" s="1">
        <v>61236</v>
      </c>
      <c r="AB59" s="1">
        <v>53494</v>
      </c>
      <c r="AC59" s="1">
        <v>45726</v>
      </c>
      <c r="AD59" s="1">
        <v>39248</v>
      </c>
      <c r="AE59" s="1">
        <v>33858</v>
      </c>
      <c r="AF59" s="1">
        <v>28951</v>
      </c>
      <c r="AG59" s="7">
        <v>103736</v>
      </c>
      <c r="AH59" s="1">
        <v>474177</v>
      </c>
      <c r="AI59" s="1">
        <v>454650</v>
      </c>
      <c r="AJ59" s="1">
        <v>435264</v>
      </c>
      <c r="AK59" s="1">
        <v>415881</v>
      </c>
      <c r="AL59" s="1">
        <v>396778</v>
      </c>
      <c r="AM59" s="1">
        <v>377552</v>
      </c>
      <c r="AN59" s="1">
        <v>358046</v>
      </c>
      <c r="AO59" s="1">
        <v>339250</v>
      </c>
      <c r="AP59" s="1">
        <v>321460</v>
      </c>
      <c r="AQ59" s="1">
        <v>303490</v>
      </c>
      <c r="AR59" s="1">
        <v>283914</v>
      </c>
      <c r="AS59" s="1">
        <v>263464</v>
      </c>
      <c r="AT59" s="1">
        <v>244573</v>
      </c>
      <c r="AU59" s="1">
        <v>226687</v>
      </c>
      <c r="AV59" s="1">
        <v>211485</v>
      </c>
      <c r="AW59" s="1">
        <v>198750</v>
      </c>
      <c r="AX59" s="1">
        <v>187304</v>
      </c>
      <c r="AY59" s="1">
        <v>177093</v>
      </c>
      <c r="AZ59" s="1">
        <v>168510</v>
      </c>
      <c r="BA59" s="1">
        <v>159295</v>
      </c>
      <c r="BB59" s="1">
        <v>146973</v>
      </c>
      <c r="BC59" s="1">
        <v>132599</v>
      </c>
      <c r="BD59" s="1">
        <v>120352</v>
      </c>
      <c r="BE59" s="1">
        <v>109626</v>
      </c>
      <c r="BF59" s="1">
        <v>99803</v>
      </c>
      <c r="BG59" s="1">
        <v>89503</v>
      </c>
      <c r="BH59" s="1">
        <v>78679</v>
      </c>
      <c r="BI59" s="1">
        <v>69491</v>
      </c>
      <c r="BJ59" s="1">
        <v>61710</v>
      </c>
      <c r="BK59" s="1">
        <v>54341</v>
      </c>
      <c r="BL59" s="1">
        <v>236519</v>
      </c>
    </row>
    <row r="60" spans="1:64" x14ac:dyDescent="0.25">
      <c r="A60" s="23"/>
      <c r="B60" s="1" t="s">
        <v>28</v>
      </c>
      <c r="C60" s="1">
        <v>421483</v>
      </c>
      <c r="D60" s="1">
        <v>403141</v>
      </c>
      <c r="E60" s="1">
        <v>383588</v>
      </c>
      <c r="F60" s="1">
        <v>364726</v>
      </c>
      <c r="G60" s="1">
        <v>346323</v>
      </c>
      <c r="H60" s="1">
        <v>327097</v>
      </c>
      <c r="I60" s="1">
        <v>307581</v>
      </c>
      <c r="J60" s="1">
        <v>288807</v>
      </c>
      <c r="K60" s="1">
        <v>270951</v>
      </c>
      <c r="L60" s="1">
        <v>254212</v>
      </c>
      <c r="M60" s="1">
        <v>236369</v>
      </c>
      <c r="N60" s="1">
        <v>217544</v>
      </c>
      <c r="O60" s="1">
        <v>199440</v>
      </c>
      <c r="P60" s="1">
        <v>183014</v>
      </c>
      <c r="Q60" s="1">
        <v>167819</v>
      </c>
      <c r="R60" s="1">
        <v>153341</v>
      </c>
      <c r="S60" s="1">
        <v>140480</v>
      </c>
      <c r="T60" s="1">
        <v>129790</v>
      </c>
      <c r="U60" s="1">
        <v>120386</v>
      </c>
      <c r="V60" s="1">
        <v>112513</v>
      </c>
      <c r="W60" s="1">
        <v>103108</v>
      </c>
      <c r="X60" s="1">
        <v>91893</v>
      </c>
      <c r="Y60" s="1">
        <v>80855</v>
      </c>
      <c r="Z60" s="1">
        <v>71676</v>
      </c>
      <c r="AA60" s="1">
        <v>63877</v>
      </c>
      <c r="AB60" s="1">
        <v>55733</v>
      </c>
      <c r="AC60" s="1">
        <v>47683</v>
      </c>
      <c r="AD60" s="1">
        <v>40757</v>
      </c>
      <c r="AE60" s="1">
        <v>34984</v>
      </c>
      <c r="AF60" s="1">
        <v>30177</v>
      </c>
      <c r="AG60" s="7">
        <v>112117</v>
      </c>
      <c r="AH60" s="1">
        <v>488294</v>
      </c>
      <c r="AI60" s="1">
        <v>470155</v>
      </c>
      <c r="AJ60" s="1">
        <v>450793</v>
      </c>
      <c r="AK60" s="1">
        <v>431569</v>
      </c>
      <c r="AL60" s="1">
        <v>412350</v>
      </c>
      <c r="AM60" s="1">
        <v>392478</v>
      </c>
      <c r="AN60" s="1">
        <v>372556</v>
      </c>
      <c r="AO60" s="1">
        <v>353308</v>
      </c>
      <c r="AP60" s="1">
        <v>334758</v>
      </c>
      <c r="AQ60" s="1">
        <v>317206</v>
      </c>
      <c r="AR60" s="1">
        <v>298277</v>
      </c>
      <c r="AS60" s="1">
        <v>277879</v>
      </c>
      <c r="AT60" s="1">
        <v>257867</v>
      </c>
      <c r="AU60" s="1">
        <v>239376</v>
      </c>
      <c r="AV60" s="1">
        <v>221870</v>
      </c>
      <c r="AW60" s="1">
        <v>205654</v>
      </c>
      <c r="AX60" s="1">
        <v>191970</v>
      </c>
      <c r="AY60" s="1">
        <v>180913</v>
      </c>
      <c r="AZ60" s="1">
        <v>171051</v>
      </c>
      <c r="BA60" s="1">
        <v>162759</v>
      </c>
      <c r="BB60" s="1">
        <v>152184</v>
      </c>
      <c r="BC60" s="1">
        <v>138783</v>
      </c>
      <c r="BD60" s="1">
        <v>125208</v>
      </c>
      <c r="BE60" s="1">
        <v>113646</v>
      </c>
      <c r="BF60" s="1">
        <v>103515</v>
      </c>
      <c r="BG60" s="1">
        <v>92565</v>
      </c>
      <c r="BH60" s="1">
        <v>81389</v>
      </c>
      <c r="BI60" s="1">
        <v>71546</v>
      </c>
      <c r="BJ60" s="1">
        <v>63192</v>
      </c>
      <c r="BK60" s="1">
        <v>56118</v>
      </c>
      <c r="BL60" s="1">
        <v>254462</v>
      </c>
    </row>
    <row r="61" spans="1:64" x14ac:dyDescent="0.25">
      <c r="A61" s="23"/>
      <c r="B61" s="1" t="s">
        <v>29</v>
      </c>
      <c r="C61" s="1">
        <v>431572</v>
      </c>
      <c r="D61" s="1">
        <v>415394</v>
      </c>
      <c r="E61" s="1">
        <v>397309</v>
      </c>
      <c r="F61" s="1">
        <v>378037</v>
      </c>
      <c r="G61" s="1">
        <v>359441</v>
      </c>
      <c r="H61" s="1">
        <v>340145</v>
      </c>
      <c r="I61" s="1">
        <v>320128</v>
      </c>
      <c r="J61" s="1">
        <v>301021</v>
      </c>
      <c r="K61" s="1">
        <v>282640</v>
      </c>
      <c r="L61" s="1">
        <v>265158</v>
      </c>
      <c r="M61" s="1">
        <v>247469</v>
      </c>
      <c r="N61" s="1">
        <v>228843</v>
      </c>
      <c r="O61" s="1">
        <v>210616</v>
      </c>
      <c r="P61" s="1">
        <v>193086</v>
      </c>
      <c r="Q61" s="1">
        <v>177183</v>
      </c>
      <c r="R61" s="1">
        <v>161079</v>
      </c>
      <c r="S61" s="1">
        <v>145852</v>
      </c>
      <c r="T61" s="1">
        <v>133620</v>
      </c>
      <c r="U61" s="1">
        <v>123451</v>
      </c>
      <c r="V61" s="1">
        <v>114506</v>
      </c>
      <c r="W61" s="1">
        <v>105766</v>
      </c>
      <c r="X61" s="1">
        <v>95710</v>
      </c>
      <c r="Y61" s="1">
        <v>85299</v>
      </c>
      <c r="Z61" s="1">
        <v>75055</v>
      </c>
      <c r="AA61" s="1">
        <v>66536</v>
      </c>
      <c r="AB61" s="1">
        <v>58207</v>
      </c>
      <c r="AC61" s="1">
        <v>49749</v>
      </c>
      <c r="AD61" s="1">
        <v>42565</v>
      </c>
      <c r="AE61" s="1">
        <v>36381</v>
      </c>
      <c r="AF61" s="1">
        <v>31228</v>
      </c>
      <c r="AG61" s="7">
        <v>120311</v>
      </c>
      <c r="AH61" s="1">
        <v>500397</v>
      </c>
      <c r="AI61" s="1">
        <v>484223</v>
      </c>
      <c r="AJ61" s="1">
        <v>466234</v>
      </c>
      <c r="AK61" s="1">
        <v>447033</v>
      </c>
      <c r="AL61" s="1">
        <v>427967</v>
      </c>
      <c r="AM61" s="1">
        <v>407955</v>
      </c>
      <c r="AN61" s="1">
        <v>387369</v>
      </c>
      <c r="AO61" s="1">
        <v>367704</v>
      </c>
      <c r="AP61" s="1">
        <v>348706</v>
      </c>
      <c r="AQ61" s="1">
        <v>330398</v>
      </c>
      <c r="AR61" s="1">
        <v>311840</v>
      </c>
      <c r="AS61" s="1">
        <v>292038</v>
      </c>
      <c r="AT61" s="1">
        <v>272064</v>
      </c>
      <c r="AU61" s="1">
        <v>252472</v>
      </c>
      <c r="AV61" s="1">
        <v>234366</v>
      </c>
      <c r="AW61" s="1">
        <v>215848</v>
      </c>
      <c r="AX61" s="1">
        <v>198741</v>
      </c>
      <c r="AY61" s="1">
        <v>185519</v>
      </c>
      <c r="AZ61" s="1">
        <v>174834</v>
      </c>
      <c r="BA61" s="1">
        <v>165303</v>
      </c>
      <c r="BB61" s="1">
        <v>155601</v>
      </c>
      <c r="BC61" s="1">
        <v>143835</v>
      </c>
      <c r="BD61" s="1">
        <v>131166</v>
      </c>
      <c r="BE61" s="1">
        <v>118337</v>
      </c>
      <c r="BF61" s="1">
        <v>107409</v>
      </c>
      <c r="BG61" s="1">
        <v>96121</v>
      </c>
      <c r="BH61" s="1">
        <v>84304</v>
      </c>
      <c r="BI61" s="1">
        <v>74126</v>
      </c>
      <c r="BJ61" s="1">
        <v>65161</v>
      </c>
      <c r="BK61" s="1">
        <v>57552</v>
      </c>
      <c r="BL61" s="1">
        <v>271892</v>
      </c>
    </row>
    <row r="62" spans="1:64" x14ac:dyDescent="0.25">
      <c r="A62" s="23"/>
      <c r="B62" s="1" t="s">
        <v>30</v>
      </c>
      <c r="C62" s="1">
        <v>440013</v>
      </c>
      <c r="D62" s="1">
        <v>425454</v>
      </c>
      <c r="E62" s="1">
        <v>409500</v>
      </c>
      <c r="F62" s="1">
        <v>391669</v>
      </c>
      <c r="G62" s="1">
        <v>372666</v>
      </c>
      <c r="H62" s="1">
        <v>353148</v>
      </c>
      <c r="I62" s="1">
        <v>333034</v>
      </c>
      <c r="J62" s="1">
        <v>313425</v>
      </c>
      <c r="K62" s="1">
        <v>294716</v>
      </c>
      <c r="L62" s="1">
        <v>276712</v>
      </c>
      <c r="M62" s="1">
        <v>258242</v>
      </c>
      <c r="N62" s="1">
        <v>239713</v>
      </c>
      <c r="O62" s="1">
        <v>221668</v>
      </c>
      <c r="P62" s="1">
        <v>204011</v>
      </c>
      <c r="Q62" s="1">
        <v>187029</v>
      </c>
      <c r="R62" s="1">
        <v>170174</v>
      </c>
      <c r="S62" s="1">
        <v>153324</v>
      </c>
      <c r="T62" s="1">
        <v>138831</v>
      </c>
      <c r="U62" s="1">
        <v>127190</v>
      </c>
      <c r="V62" s="1">
        <v>117510</v>
      </c>
      <c r="W62" s="1">
        <v>107730</v>
      </c>
      <c r="X62" s="1">
        <v>98270</v>
      </c>
      <c r="Y62" s="1">
        <v>88927</v>
      </c>
      <c r="Z62" s="1">
        <v>79256</v>
      </c>
      <c r="AA62" s="1">
        <v>69737</v>
      </c>
      <c r="AB62" s="1">
        <v>60697</v>
      </c>
      <c r="AC62" s="1">
        <v>52027</v>
      </c>
      <c r="AD62" s="1">
        <v>44469</v>
      </c>
      <c r="AE62" s="1">
        <v>38047</v>
      </c>
      <c r="AF62" s="1">
        <v>32518</v>
      </c>
      <c r="AG62" s="7">
        <v>128206</v>
      </c>
      <c r="AH62" s="1">
        <v>510855</v>
      </c>
      <c r="AI62" s="1">
        <v>496294</v>
      </c>
      <c r="AJ62" s="1">
        <v>480252</v>
      </c>
      <c r="AK62" s="1">
        <v>462408</v>
      </c>
      <c r="AL62" s="1">
        <v>443364</v>
      </c>
      <c r="AM62" s="1">
        <v>423477</v>
      </c>
      <c r="AN62" s="1">
        <v>402726</v>
      </c>
      <c r="AO62" s="1">
        <v>382404</v>
      </c>
      <c r="AP62" s="1">
        <v>362990</v>
      </c>
      <c r="AQ62" s="1">
        <v>344235</v>
      </c>
      <c r="AR62" s="1">
        <v>324893</v>
      </c>
      <c r="AS62" s="1">
        <v>305413</v>
      </c>
      <c r="AT62" s="1">
        <v>286018</v>
      </c>
      <c r="AU62" s="1">
        <v>266453</v>
      </c>
      <c r="AV62" s="1">
        <v>247268</v>
      </c>
      <c r="AW62" s="1">
        <v>228096</v>
      </c>
      <c r="AX62" s="1">
        <v>208699</v>
      </c>
      <c r="AY62" s="1">
        <v>192160</v>
      </c>
      <c r="AZ62" s="1">
        <v>179377</v>
      </c>
      <c r="BA62" s="1">
        <v>169045</v>
      </c>
      <c r="BB62" s="1">
        <v>158138</v>
      </c>
      <c r="BC62" s="1">
        <v>147190</v>
      </c>
      <c r="BD62" s="1">
        <v>136058</v>
      </c>
      <c r="BE62" s="1">
        <v>124074</v>
      </c>
      <c r="BF62" s="1">
        <v>111939</v>
      </c>
      <c r="BG62" s="1">
        <v>99851</v>
      </c>
      <c r="BH62" s="1">
        <v>87669</v>
      </c>
      <c r="BI62" s="1">
        <v>76895</v>
      </c>
      <c r="BJ62" s="1">
        <v>67612</v>
      </c>
      <c r="BK62" s="1">
        <v>59435</v>
      </c>
      <c r="BL62" s="1">
        <v>288578</v>
      </c>
    </row>
    <row r="63" spans="1:64" x14ac:dyDescent="0.25">
      <c r="A63" s="23"/>
      <c r="B63" s="1" t="s">
        <v>31</v>
      </c>
      <c r="C63" s="1">
        <v>448774</v>
      </c>
      <c r="D63" s="1">
        <v>433891</v>
      </c>
      <c r="E63" s="1">
        <v>419530</v>
      </c>
      <c r="F63" s="1">
        <v>403791</v>
      </c>
      <c r="G63" s="1">
        <v>386207</v>
      </c>
      <c r="H63" s="1">
        <v>366257</v>
      </c>
      <c r="I63" s="1">
        <v>345896</v>
      </c>
      <c r="J63" s="1">
        <v>326186</v>
      </c>
      <c r="K63" s="1">
        <v>306977</v>
      </c>
      <c r="L63" s="1">
        <v>288646</v>
      </c>
      <c r="M63" s="1">
        <v>269612</v>
      </c>
      <c r="N63" s="1">
        <v>250269</v>
      </c>
      <c r="O63" s="1">
        <v>232308</v>
      </c>
      <c r="P63" s="1">
        <v>214820</v>
      </c>
      <c r="Q63" s="1">
        <v>197707</v>
      </c>
      <c r="R63" s="1">
        <v>179733</v>
      </c>
      <c r="S63" s="1">
        <v>162094</v>
      </c>
      <c r="T63" s="1">
        <v>146047</v>
      </c>
      <c r="U63" s="1">
        <v>132242</v>
      </c>
      <c r="V63" s="1">
        <v>121153</v>
      </c>
      <c r="W63" s="1">
        <v>110643</v>
      </c>
      <c r="X63" s="1">
        <v>100184</v>
      </c>
      <c r="Y63" s="1">
        <v>91387</v>
      </c>
      <c r="Z63" s="1">
        <v>82699</v>
      </c>
      <c r="AA63" s="1">
        <v>73707</v>
      </c>
      <c r="AB63" s="1">
        <v>63684</v>
      </c>
      <c r="AC63" s="1">
        <v>54322</v>
      </c>
      <c r="AD63" s="1">
        <v>46562</v>
      </c>
      <c r="AE63" s="1">
        <v>39800</v>
      </c>
      <c r="AF63" s="1">
        <v>34050</v>
      </c>
      <c r="AG63" s="7">
        <v>136062</v>
      </c>
      <c r="AH63" s="1">
        <v>521175</v>
      </c>
      <c r="AI63" s="1">
        <v>506732</v>
      </c>
      <c r="AJ63" s="1">
        <v>492289</v>
      </c>
      <c r="AK63" s="1">
        <v>476375</v>
      </c>
      <c r="AL63" s="1">
        <v>458673</v>
      </c>
      <c r="AM63" s="1">
        <v>438784</v>
      </c>
      <c r="AN63" s="1">
        <v>418131</v>
      </c>
      <c r="AO63" s="1">
        <v>397641</v>
      </c>
      <c r="AP63" s="1">
        <v>377575</v>
      </c>
      <c r="AQ63" s="1">
        <v>358406</v>
      </c>
      <c r="AR63" s="1">
        <v>338583</v>
      </c>
      <c r="AS63" s="1">
        <v>318294</v>
      </c>
      <c r="AT63" s="1">
        <v>299206</v>
      </c>
      <c r="AU63" s="1">
        <v>280205</v>
      </c>
      <c r="AV63" s="1">
        <v>261039</v>
      </c>
      <c r="AW63" s="1">
        <v>240744</v>
      </c>
      <c r="AX63" s="1">
        <v>220648</v>
      </c>
      <c r="AY63" s="1">
        <v>201887</v>
      </c>
      <c r="AZ63" s="1">
        <v>185886</v>
      </c>
      <c r="BA63" s="1">
        <v>173522</v>
      </c>
      <c r="BB63" s="1">
        <v>161823</v>
      </c>
      <c r="BC63" s="1">
        <v>149709</v>
      </c>
      <c r="BD63" s="1">
        <v>139346</v>
      </c>
      <c r="BE63" s="1">
        <v>128806</v>
      </c>
      <c r="BF63" s="1">
        <v>117461</v>
      </c>
      <c r="BG63" s="1">
        <v>104175</v>
      </c>
      <c r="BH63" s="1">
        <v>91201</v>
      </c>
      <c r="BI63" s="1">
        <v>80076</v>
      </c>
      <c r="BJ63" s="1">
        <v>70235</v>
      </c>
      <c r="BK63" s="1">
        <v>61757</v>
      </c>
      <c r="BL63" s="1">
        <v>305032</v>
      </c>
    </row>
    <row r="64" spans="1:64" x14ac:dyDescent="0.25">
      <c r="A64" s="23"/>
      <c r="B64" s="1" t="s">
        <v>32</v>
      </c>
      <c r="C64" s="1">
        <v>457659</v>
      </c>
      <c r="D64" s="1">
        <v>442638</v>
      </c>
      <c r="E64" s="1">
        <v>427952</v>
      </c>
      <c r="F64" s="1">
        <v>413785</v>
      </c>
      <c r="G64" s="1">
        <v>398258</v>
      </c>
      <c r="H64" s="1">
        <v>379682</v>
      </c>
      <c r="I64" s="1">
        <v>358860</v>
      </c>
      <c r="J64" s="1">
        <v>338906</v>
      </c>
      <c r="K64" s="1">
        <v>319588</v>
      </c>
      <c r="L64" s="1">
        <v>300765</v>
      </c>
      <c r="M64" s="1">
        <v>281351</v>
      </c>
      <c r="N64" s="1">
        <v>261408</v>
      </c>
      <c r="O64" s="1">
        <v>242649</v>
      </c>
      <c r="P64" s="1">
        <v>225233</v>
      </c>
      <c r="Q64" s="1">
        <v>208275</v>
      </c>
      <c r="R64" s="1">
        <v>190098</v>
      </c>
      <c r="S64" s="1">
        <v>171310</v>
      </c>
      <c r="T64" s="1">
        <v>154502</v>
      </c>
      <c r="U64" s="1">
        <v>139204</v>
      </c>
      <c r="V64" s="1">
        <v>126049</v>
      </c>
      <c r="W64" s="1">
        <v>114157</v>
      </c>
      <c r="X64" s="1">
        <v>102978</v>
      </c>
      <c r="Y64" s="1">
        <v>93245</v>
      </c>
      <c r="Z64" s="1">
        <v>85058</v>
      </c>
      <c r="AA64" s="1">
        <v>76974</v>
      </c>
      <c r="AB64" s="1">
        <v>67374</v>
      </c>
      <c r="AC64" s="1">
        <v>57062</v>
      </c>
      <c r="AD64" s="1">
        <v>48675</v>
      </c>
      <c r="AE64" s="1">
        <v>41720</v>
      </c>
      <c r="AF64" s="1">
        <v>35664</v>
      </c>
      <c r="AG64" s="7">
        <v>144099</v>
      </c>
      <c r="AH64" s="1">
        <v>531441</v>
      </c>
      <c r="AI64" s="1">
        <v>517033</v>
      </c>
      <c r="AJ64" s="1">
        <v>502705</v>
      </c>
      <c r="AK64" s="1">
        <v>488377</v>
      </c>
      <c r="AL64" s="1">
        <v>472586</v>
      </c>
      <c r="AM64" s="1">
        <v>454008</v>
      </c>
      <c r="AN64" s="1">
        <v>433325</v>
      </c>
      <c r="AO64" s="1">
        <v>412929</v>
      </c>
      <c r="AP64" s="1">
        <v>392695</v>
      </c>
      <c r="AQ64" s="1">
        <v>372877</v>
      </c>
      <c r="AR64" s="1">
        <v>352602</v>
      </c>
      <c r="AS64" s="1">
        <v>331800</v>
      </c>
      <c r="AT64" s="1">
        <v>311917</v>
      </c>
      <c r="AU64" s="1">
        <v>293210</v>
      </c>
      <c r="AV64" s="1">
        <v>274590</v>
      </c>
      <c r="AW64" s="1">
        <v>254246</v>
      </c>
      <c r="AX64" s="1">
        <v>232990</v>
      </c>
      <c r="AY64" s="1">
        <v>213542</v>
      </c>
      <c r="AZ64" s="1">
        <v>195385</v>
      </c>
      <c r="BA64" s="1">
        <v>179900</v>
      </c>
      <c r="BB64" s="1">
        <v>166210</v>
      </c>
      <c r="BC64" s="1">
        <v>153318</v>
      </c>
      <c r="BD64" s="1">
        <v>141840</v>
      </c>
      <c r="BE64" s="1">
        <v>132021</v>
      </c>
      <c r="BF64" s="1">
        <v>122037</v>
      </c>
      <c r="BG64" s="1">
        <v>109424</v>
      </c>
      <c r="BH64" s="1">
        <v>95281</v>
      </c>
      <c r="BI64" s="1">
        <v>83412</v>
      </c>
      <c r="BJ64" s="1">
        <v>73239</v>
      </c>
      <c r="BK64" s="1">
        <v>64238</v>
      </c>
      <c r="BL64" s="1">
        <v>321687</v>
      </c>
    </row>
    <row r="65" spans="1:64" x14ac:dyDescent="0.25">
      <c r="A65" s="23"/>
      <c r="B65" s="1" t="s">
        <v>33</v>
      </c>
      <c r="C65" s="1">
        <v>465782</v>
      </c>
      <c r="D65" s="1">
        <v>451504</v>
      </c>
      <c r="E65" s="1">
        <v>436681</v>
      </c>
      <c r="F65" s="1">
        <v>422188</v>
      </c>
      <c r="G65" s="1">
        <v>408210</v>
      </c>
      <c r="H65" s="1">
        <v>391637</v>
      </c>
      <c r="I65" s="1">
        <v>372138</v>
      </c>
      <c r="J65" s="1">
        <v>351725</v>
      </c>
      <c r="K65" s="1">
        <v>332164</v>
      </c>
      <c r="L65" s="1">
        <v>313225</v>
      </c>
      <c r="M65" s="1">
        <v>293278</v>
      </c>
      <c r="N65" s="1">
        <v>272903</v>
      </c>
      <c r="O65" s="1">
        <v>253558</v>
      </c>
      <c r="P65" s="1">
        <v>235360</v>
      </c>
      <c r="Q65" s="1">
        <v>218465</v>
      </c>
      <c r="R65" s="1">
        <v>200360</v>
      </c>
      <c r="S65" s="1">
        <v>181300</v>
      </c>
      <c r="T65" s="1">
        <v>163384</v>
      </c>
      <c r="U65" s="1">
        <v>147354</v>
      </c>
      <c r="V65" s="1">
        <v>132764</v>
      </c>
      <c r="W65" s="1">
        <v>118852</v>
      </c>
      <c r="X65" s="1">
        <v>106335</v>
      </c>
      <c r="Y65" s="1">
        <v>95920</v>
      </c>
      <c r="Z65" s="1">
        <v>86855</v>
      </c>
      <c r="AA65" s="1">
        <v>79230</v>
      </c>
      <c r="AB65" s="1">
        <v>70426</v>
      </c>
      <c r="AC65" s="1">
        <v>60435</v>
      </c>
      <c r="AD65" s="1">
        <v>51185</v>
      </c>
      <c r="AE65" s="1">
        <v>43664</v>
      </c>
      <c r="AF65" s="1">
        <v>37422</v>
      </c>
      <c r="AG65" s="7">
        <v>152370</v>
      </c>
      <c r="AH65" s="1">
        <v>539773</v>
      </c>
      <c r="AI65" s="1">
        <v>527281</v>
      </c>
      <c r="AJ65" s="1">
        <v>512987</v>
      </c>
      <c r="AK65" s="1">
        <v>498768</v>
      </c>
      <c r="AL65" s="1">
        <v>484552</v>
      </c>
      <c r="AM65" s="1">
        <v>467847</v>
      </c>
      <c r="AN65" s="1">
        <v>448439</v>
      </c>
      <c r="AO65" s="1">
        <v>428009</v>
      </c>
      <c r="AP65" s="1">
        <v>407864</v>
      </c>
      <c r="AQ65" s="1">
        <v>387879</v>
      </c>
      <c r="AR65" s="1">
        <v>366922</v>
      </c>
      <c r="AS65" s="1">
        <v>345634</v>
      </c>
      <c r="AT65" s="1">
        <v>325239</v>
      </c>
      <c r="AU65" s="1">
        <v>305750</v>
      </c>
      <c r="AV65" s="1">
        <v>287413</v>
      </c>
      <c r="AW65" s="1">
        <v>267537</v>
      </c>
      <c r="AX65" s="1">
        <v>246165</v>
      </c>
      <c r="AY65" s="1">
        <v>225584</v>
      </c>
      <c r="AZ65" s="1">
        <v>206756</v>
      </c>
      <c r="BA65" s="1">
        <v>189174</v>
      </c>
      <c r="BB65" s="1">
        <v>172419</v>
      </c>
      <c r="BC65" s="1">
        <v>157591</v>
      </c>
      <c r="BD65" s="1">
        <v>145367</v>
      </c>
      <c r="BE65" s="1">
        <v>134485</v>
      </c>
      <c r="BF65" s="1">
        <v>125174</v>
      </c>
      <c r="BG65" s="1">
        <v>113800</v>
      </c>
      <c r="BH65" s="1">
        <v>100206</v>
      </c>
      <c r="BI65" s="1">
        <v>87256</v>
      </c>
      <c r="BJ65" s="1">
        <v>76387</v>
      </c>
      <c r="BK65" s="1">
        <v>67072</v>
      </c>
      <c r="BL65" s="1">
        <v>338670</v>
      </c>
    </row>
    <row r="66" spans="1:64" x14ac:dyDescent="0.25">
      <c r="A66" s="23"/>
      <c r="B66" s="1" t="s">
        <v>34</v>
      </c>
      <c r="C66" s="1">
        <v>473201</v>
      </c>
      <c r="D66" s="1">
        <v>459617</v>
      </c>
      <c r="E66" s="1">
        <v>445524</v>
      </c>
      <c r="F66" s="1">
        <v>430895</v>
      </c>
      <c r="G66" s="1">
        <v>416590</v>
      </c>
      <c r="H66" s="1">
        <v>401529</v>
      </c>
      <c r="I66" s="1">
        <v>383975</v>
      </c>
      <c r="J66" s="1">
        <v>364854</v>
      </c>
      <c r="K66" s="1">
        <v>344836</v>
      </c>
      <c r="L66" s="1">
        <v>325650</v>
      </c>
      <c r="M66" s="1">
        <v>305536</v>
      </c>
      <c r="N66" s="1">
        <v>284587</v>
      </c>
      <c r="O66" s="1">
        <v>264814</v>
      </c>
      <c r="P66" s="1">
        <v>246039</v>
      </c>
      <c r="Q66" s="1">
        <v>228380</v>
      </c>
      <c r="R66" s="1">
        <v>210267</v>
      </c>
      <c r="S66" s="1">
        <v>191196</v>
      </c>
      <c r="T66" s="1">
        <v>173010</v>
      </c>
      <c r="U66" s="1">
        <v>155914</v>
      </c>
      <c r="V66" s="1">
        <v>140620</v>
      </c>
      <c r="W66" s="1">
        <v>125262</v>
      </c>
      <c r="X66" s="1">
        <v>110787</v>
      </c>
      <c r="Y66" s="1">
        <v>99120</v>
      </c>
      <c r="Z66" s="1">
        <v>89413</v>
      </c>
      <c r="AA66" s="1">
        <v>80963</v>
      </c>
      <c r="AB66" s="1">
        <v>72554</v>
      </c>
      <c r="AC66" s="1">
        <v>63239</v>
      </c>
      <c r="AD66" s="1">
        <v>54267</v>
      </c>
      <c r="AE66" s="1">
        <v>45962</v>
      </c>
      <c r="AF66" s="1">
        <v>39208</v>
      </c>
      <c r="AG66" s="7">
        <v>160962</v>
      </c>
      <c r="AH66" s="1">
        <v>545628</v>
      </c>
      <c r="AI66" s="1">
        <v>535609</v>
      </c>
      <c r="AJ66" s="1">
        <v>523213</v>
      </c>
      <c r="AK66" s="1">
        <v>509029</v>
      </c>
      <c r="AL66" s="1">
        <v>494916</v>
      </c>
      <c r="AM66" s="1">
        <v>479763</v>
      </c>
      <c r="AN66" s="1">
        <v>462186</v>
      </c>
      <c r="AO66" s="1">
        <v>443012</v>
      </c>
      <c r="AP66" s="1">
        <v>422830</v>
      </c>
      <c r="AQ66" s="1">
        <v>402928</v>
      </c>
      <c r="AR66" s="1">
        <v>381766</v>
      </c>
      <c r="AS66" s="1">
        <v>359764</v>
      </c>
      <c r="AT66" s="1">
        <v>338887</v>
      </c>
      <c r="AU66" s="1">
        <v>318892</v>
      </c>
      <c r="AV66" s="1">
        <v>299784</v>
      </c>
      <c r="AW66" s="1">
        <v>280124</v>
      </c>
      <c r="AX66" s="1">
        <v>259141</v>
      </c>
      <c r="AY66" s="1">
        <v>238440</v>
      </c>
      <c r="AZ66" s="1">
        <v>218505</v>
      </c>
      <c r="BA66" s="1">
        <v>200269</v>
      </c>
      <c r="BB66" s="1">
        <v>181407</v>
      </c>
      <c r="BC66" s="1">
        <v>163592</v>
      </c>
      <c r="BD66" s="1">
        <v>149523</v>
      </c>
      <c r="BE66" s="1">
        <v>137926</v>
      </c>
      <c r="BF66" s="1">
        <v>127601</v>
      </c>
      <c r="BG66" s="1">
        <v>116836</v>
      </c>
      <c r="BH66" s="1">
        <v>104339</v>
      </c>
      <c r="BI66" s="1">
        <v>91879</v>
      </c>
      <c r="BJ66" s="1">
        <v>80002</v>
      </c>
      <c r="BK66" s="1">
        <v>70039</v>
      </c>
      <c r="BL66" s="1">
        <v>356268</v>
      </c>
    </row>
    <row r="67" spans="1:64" x14ac:dyDescent="0.25">
      <c r="A67" s="23" t="s">
        <v>58</v>
      </c>
      <c r="B67" s="1" t="s">
        <v>20</v>
      </c>
      <c r="C67" s="1">
        <v>114388</v>
      </c>
      <c r="D67" s="1">
        <v>108449</v>
      </c>
      <c r="E67" s="1">
        <v>102429</v>
      </c>
      <c r="F67" s="1">
        <v>96272</v>
      </c>
      <c r="G67" s="1">
        <v>90113</v>
      </c>
      <c r="H67" s="1">
        <v>84082</v>
      </c>
      <c r="I67" s="1">
        <v>78075</v>
      </c>
      <c r="J67" s="1">
        <v>72728</v>
      </c>
      <c r="K67" s="1">
        <v>68348</v>
      </c>
      <c r="L67" s="1">
        <v>64625</v>
      </c>
      <c r="M67" s="1">
        <v>60974</v>
      </c>
      <c r="N67" s="1">
        <v>57542</v>
      </c>
      <c r="O67" s="1">
        <v>53942</v>
      </c>
      <c r="P67" s="1">
        <v>49936</v>
      </c>
      <c r="Q67" s="1">
        <v>45726</v>
      </c>
      <c r="R67" s="1">
        <v>41751</v>
      </c>
      <c r="S67" s="1">
        <v>37914</v>
      </c>
      <c r="T67" s="1">
        <v>34324</v>
      </c>
      <c r="U67" s="1">
        <v>31072</v>
      </c>
      <c r="V67" s="1">
        <v>28086</v>
      </c>
      <c r="W67" s="1">
        <v>25185</v>
      </c>
      <c r="X67" s="1">
        <v>22394</v>
      </c>
      <c r="Y67" s="1">
        <v>19743</v>
      </c>
      <c r="Z67" s="1">
        <v>17221</v>
      </c>
      <c r="AA67" s="1">
        <v>14821</v>
      </c>
      <c r="AB67" s="1">
        <v>12537</v>
      </c>
      <c r="AC67" s="1">
        <v>10357</v>
      </c>
      <c r="AD67" s="1">
        <v>8277</v>
      </c>
      <c r="AE67" s="1">
        <v>6287</v>
      </c>
      <c r="AF67" s="1">
        <v>4379</v>
      </c>
      <c r="AG67" s="7">
        <v>17376</v>
      </c>
      <c r="AH67" s="1">
        <v>126948</v>
      </c>
      <c r="AI67" s="1">
        <v>120882</v>
      </c>
      <c r="AJ67" s="1">
        <v>114752</v>
      </c>
      <c r="AK67" s="1">
        <v>108518</v>
      </c>
      <c r="AL67" s="1">
        <v>102312</v>
      </c>
      <c r="AM67" s="1">
        <v>96238</v>
      </c>
      <c r="AN67" s="1">
        <v>90195</v>
      </c>
      <c r="AO67" s="1">
        <v>84869</v>
      </c>
      <c r="AP67" s="1">
        <v>80583</v>
      </c>
      <c r="AQ67" s="1">
        <v>77008</v>
      </c>
      <c r="AR67" s="1">
        <v>73491</v>
      </c>
      <c r="AS67" s="1">
        <v>70163</v>
      </c>
      <c r="AT67" s="1">
        <v>66744</v>
      </c>
      <c r="AU67" s="1">
        <v>63029</v>
      </c>
      <c r="AV67" s="1">
        <v>59156</v>
      </c>
      <c r="AW67" s="1">
        <v>55461</v>
      </c>
      <c r="AX67" s="1">
        <v>51873</v>
      </c>
      <c r="AY67" s="1">
        <v>48362</v>
      </c>
      <c r="AZ67" s="1">
        <v>44949</v>
      </c>
      <c r="BA67" s="1">
        <v>41610</v>
      </c>
      <c r="BB67" s="1">
        <v>38292</v>
      </c>
      <c r="BC67" s="1">
        <v>35003</v>
      </c>
      <c r="BD67" s="1">
        <v>31738</v>
      </c>
      <c r="BE67" s="1">
        <v>28493</v>
      </c>
      <c r="BF67" s="1">
        <v>25261</v>
      </c>
      <c r="BG67" s="1">
        <v>22035</v>
      </c>
      <c r="BH67" s="1">
        <v>18808</v>
      </c>
      <c r="BI67" s="1">
        <v>15571</v>
      </c>
      <c r="BJ67" s="1">
        <v>12320</v>
      </c>
      <c r="BK67" s="1">
        <v>9046</v>
      </c>
      <c r="BL67" s="1">
        <v>38895</v>
      </c>
    </row>
    <row r="68" spans="1:64" x14ac:dyDescent="0.25">
      <c r="A68" s="23"/>
      <c r="B68" s="1" t="s">
        <v>21</v>
      </c>
      <c r="C68" s="1">
        <v>118822</v>
      </c>
      <c r="D68" s="1">
        <v>112573</v>
      </c>
      <c r="E68" s="1">
        <v>106731</v>
      </c>
      <c r="F68" s="1">
        <v>100807</v>
      </c>
      <c r="G68" s="1">
        <v>94745</v>
      </c>
      <c r="H68" s="1">
        <v>88309</v>
      </c>
      <c r="I68" s="1">
        <v>82035</v>
      </c>
      <c r="J68" s="1">
        <v>76175</v>
      </c>
      <c r="K68" s="1">
        <v>70962</v>
      </c>
      <c r="L68" s="1">
        <v>66687</v>
      </c>
      <c r="M68" s="1">
        <v>62644</v>
      </c>
      <c r="N68" s="1">
        <v>58704</v>
      </c>
      <c r="O68" s="1">
        <v>55396</v>
      </c>
      <c r="P68" s="1">
        <v>51934</v>
      </c>
      <c r="Q68" s="1">
        <v>48076</v>
      </c>
      <c r="R68" s="1">
        <v>43581</v>
      </c>
      <c r="S68" s="1">
        <v>39364</v>
      </c>
      <c r="T68" s="1">
        <v>35748</v>
      </c>
      <c r="U68" s="1">
        <v>32360</v>
      </c>
      <c r="V68" s="1">
        <v>29295</v>
      </c>
      <c r="W68" s="1">
        <v>26122</v>
      </c>
      <c r="X68" s="1">
        <v>23082</v>
      </c>
      <c r="Y68" s="1">
        <v>20525</v>
      </c>
      <c r="Z68" s="1">
        <v>18095</v>
      </c>
      <c r="AA68" s="1">
        <v>15780</v>
      </c>
      <c r="AB68" s="1">
        <v>13322</v>
      </c>
      <c r="AC68" s="1">
        <v>11024</v>
      </c>
      <c r="AD68" s="1">
        <v>9108</v>
      </c>
      <c r="AE68" s="1">
        <v>7280</v>
      </c>
      <c r="AF68" s="1">
        <v>5529</v>
      </c>
      <c r="AG68" s="7">
        <v>18203</v>
      </c>
      <c r="AH68" s="1">
        <v>132148</v>
      </c>
      <c r="AI68" s="1">
        <v>125814</v>
      </c>
      <c r="AJ68" s="1">
        <v>119802</v>
      </c>
      <c r="AK68" s="1">
        <v>113728</v>
      </c>
      <c r="AL68" s="1">
        <v>107548</v>
      </c>
      <c r="AM68" s="1">
        <v>101104</v>
      </c>
      <c r="AN68" s="1">
        <v>94813</v>
      </c>
      <c r="AO68" s="1">
        <v>88861</v>
      </c>
      <c r="AP68" s="1">
        <v>83612</v>
      </c>
      <c r="AQ68" s="1">
        <v>79390</v>
      </c>
      <c r="AR68" s="1">
        <v>75554</v>
      </c>
      <c r="AS68" s="1">
        <v>71790</v>
      </c>
      <c r="AT68" s="1">
        <v>68540</v>
      </c>
      <c r="AU68" s="1">
        <v>65200</v>
      </c>
      <c r="AV68" s="1">
        <v>61572</v>
      </c>
      <c r="AW68" s="1">
        <v>57343</v>
      </c>
      <c r="AX68" s="1">
        <v>53320</v>
      </c>
      <c r="AY68" s="1">
        <v>49873</v>
      </c>
      <c r="AZ68" s="1">
        <v>46497</v>
      </c>
      <c r="BA68" s="1">
        <v>43215</v>
      </c>
      <c r="BB68" s="1">
        <v>39505</v>
      </c>
      <c r="BC68" s="1">
        <v>35860</v>
      </c>
      <c r="BD68" s="1">
        <v>32783</v>
      </c>
      <c r="BE68" s="1">
        <v>29726</v>
      </c>
      <c r="BF68" s="1">
        <v>26687</v>
      </c>
      <c r="BG68" s="1">
        <v>23170</v>
      </c>
      <c r="BH68" s="1">
        <v>19738</v>
      </c>
      <c r="BI68" s="1">
        <v>16849</v>
      </c>
      <c r="BJ68" s="1">
        <v>13950</v>
      </c>
      <c r="BK68" s="1">
        <v>11036</v>
      </c>
      <c r="BL68" s="1">
        <v>41337</v>
      </c>
    </row>
    <row r="69" spans="1:64" x14ac:dyDescent="0.25">
      <c r="A69" s="23"/>
      <c r="B69" s="1" t="s">
        <v>22</v>
      </c>
      <c r="C69" s="1">
        <v>123515</v>
      </c>
      <c r="D69" s="1">
        <v>116976</v>
      </c>
      <c r="E69" s="1">
        <v>110826</v>
      </c>
      <c r="F69" s="1">
        <v>105076</v>
      </c>
      <c r="G69" s="1">
        <v>99242</v>
      </c>
      <c r="H69" s="1">
        <v>92887</v>
      </c>
      <c r="I69" s="1">
        <v>86203</v>
      </c>
      <c r="J69" s="1">
        <v>80079</v>
      </c>
      <c r="K69" s="1">
        <v>74362</v>
      </c>
      <c r="L69" s="1">
        <v>69273</v>
      </c>
      <c r="M69" s="1">
        <v>64684</v>
      </c>
      <c r="N69" s="1">
        <v>60354</v>
      </c>
      <c r="O69" s="1">
        <v>56557</v>
      </c>
      <c r="P69" s="1">
        <v>53373</v>
      </c>
      <c r="Q69" s="1">
        <v>50037</v>
      </c>
      <c r="R69" s="1">
        <v>45862</v>
      </c>
      <c r="S69" s="1">
        <v>41134</v>
      </c>
      <c r="T69" s="1">
        <v>37154</v>
      </c>
      <c r="U69" s="1">
        <v>33740</v>
      </c>
      <c r="V69" s="1">
        <v>30543</v>
      </c>
      <c r="W69" s="1">
        <v>27281</v>
      </c>
      <c r="X69" s="1">
        <v>23975</v>
      </c>
      <c r="Y69" s="1">
        <v>21187</v>
      </c>
      <c r="Z69" s="1">
        <v>18838</v>
      </c>
      <c r="AA69" s="1">
        <v>16606</v>
      </c>
      <c r="AB69" s="1">
        <v>14206</v>
      </c>
      <c r="AC69" s="1">
        <v>11738</v>
      </c>
      <c r="AD69" s="1">
        <v>9713</v>
      </c>
      <c r="AE69" s="1">
        <v>8027</v>
      </c>
      <c r="AF69" s="1">
        <v>6415</v>
      </c>
      <c r="AG69" s="7">
        <v>19900</v>
      </c>
      <c r="AH69" s="1">
        <v>137580</v>
      </c>
      <c r="AI69" s="1">
        <v>130996</v>
      </c>
      <c r="AJ69" s="1">
        <v>124716</v>
      </c>
      <c r="AK69" s="1">
        <v>118758</v>
      </c>
      <c r="AL69" s="1">
        <v>112736</v>
      </c>
      <c r="AM69" s="1">
        <v>106311</v>
      </c>
      <c r="AN69" s="1">
        <v>99644</v>
      </c>
      <c r="AO69" s="1">
        <v>93444</v>
      </c>
      <c r="AP69" s="1">
        <v>87578</v>
      </c>
      <c r="AQ69" s="1">
        <v>82405</v>
      </c>
      <c r="AR69" s="1">
        <v>77925</v>
      </c>
      <c r="AS69" s="1">
        <v>73845</v>
      </c>
      <c r="AT69" s="1">
        <v>70168</v>
      </c>
      <c r="AU69" s="1">
        <v>66991</v>
      </c>
      <c r="AV69" s="1">
        <v>63728</v>
      </c>
      <c r="AW69" s="1">
        <v>59727</v>
      </c>
      <c r="AX69" s="1">
        <v>55182</v>
      </c>
      <c r="AY69" s="1">
        <v>51311</v>
      </c>
      <c r="AZ69" s="1">
        <v>47995</v>
      </c>
      <c r="BA69" s="1">
        <v>44746</v>
      </c>
      <c r="BB69" s="1">
        <v>41079</v>
      </c>
      <c r="BC69" s="1">
        <v>37056</v>
      </c>
      <c r="BD69" s="1">
        <v>33639</v>
      </c>
      <c r="BE69" s="1">
        <v>30753</v>
      </c>
      <c r="BF69" s="1">
        <v>27887</v>
      </c>
      <c r="BG69" s="1">
        <v>24528</v>
      </c>
      <c r="BH69" s="1">
        <v>20814</v>
      </c>
      <c r="BI69" s="1">
        <v>17732</v>
      </c>
      <c r="BJ69" s="1">
        <v>15136</v>
      </c>
      <c r="BK69" s="1">
        <v>12533</v>
      </c>
      <c r="BL69" s="1">
        <v>45276</v>
      </c>
    </row>
    <row r="70" spans="1:64" x14ac:dyDescent="0.25">
      <c r="A70" s="23"/>
      <c r="B70" s="1" t="s">
        <v>23</v>
      </c>
      <c r="C70" s="1">
        <v>128047</v>
      </c>
      <c r="D70" s="1">
        <v>121635</v>
      </c>
      <c r="E70" s="1">
        <v>115198</v>
      </c>
      <c r="F70" s="1">
        <v>109141</v>
      </c>
      <c r="G70" s="1">
        <v>103478</v>
      </c>
      <c r="H70" s="1">
        <v>97335</v>
      </c>
      <c r="I70" s="1">
        <v>90717</v>
      </c>
      <c r="J70" s="1">
        <v>84190</v>
      </c>
      <c r="K70" s="1">
        <v>78211</v>
      </c>
      <c r="L70" s="1">
        <v>72629</v>
      </c>
      <c r="M70" s="1">
        <v>67229</v>
      </c>
      <c r="N70" s="1">
        <v>62364</v>
      </c>
      <c r="O70" s="1">
        <v>58189</v>
      </c>
      <c r="P70" s="1">
        <v>54528</v>
      </c>
      <c r="Q70" s="1">
        <v>51459</v>
      </c>
      <c r="R70" s="1">
        <v>47773</v>
      </c>
      <c r="S70" s="1">
        <v>43333</v>
      </c>
      <c r="T70" s="1">
        <v>38866</v>
      </c>
      <c r="U70" s="1">
        <v>35103</v>
      </c>
      <c r="V70" s="1">
        <v>31878</v>
      </c>
      <c r="W70" s="1">
        <v>28479</v>
      </c>
      <c r="X70" s="1">
        <v>25075</v>
      </c>
      <c r="Y70" s="1">
        <v>22035</v>
      </c>
      <c r="Z70" s="1">
        <v>19473</v>
      </c>
      <c r="AA70" s="1">
        <v>17312</v>
      </c>
      <c r="AB70" s="1">
        <v>14975</v>
      </c>
      <c r="AC70" s="1">
        <v>12540</v>
      </c>
      <c r="AD70" s="1">
        <v>10362</v>
      </c>
      <c r="AE70" s="1">
        <v>8573</v>
      </c>
      <c r="AF70" s="1">
        <v>7086</v>
      </c>
      <c r="AG70" s="7">
        <v>22101</v>
      </c>
      <c r="AH70" s="1">
        <v>142836</v>
      </c>
      <c r="AI70" s="1">
        <v>136409</v>
      </c>
      <c r="AJ70" s="1">
        <v>129881</v>
      </c>
      <c r="AK70" s="1">
        <v>123655</v>
      </c>
      <c r="AL70" s="1">
        <v>117748</v>
      </c>
      <c r="AM70" s="1">
        <v>111467</v>
      </c>
      <c r="AN70" s="1">
        <v>104814</v>
      </c>
      <c r="AO70" s="1">
        <v>98240</v>
      </c>
      <c r="AP70" s="1">
        <v>92128</v>
      </c>
      <c r="AQ70" s="1">
        <v>86344</v>
      </c>
      <c r="AR70" s="1">
        <v>80919</v>
      </c>
      <c r="AS70" s="1">
        <v>76202</v>
      </c>
      <c r="AT70" s="1">
        <v>72213</v>
      </c>
      <c r="AU70" s="1">
        <v>68617</v>
      </c>
      <c r="AV70" s="1">
        <v>65511</v>
      </c>
      <c r="AW70" s="1">
        <v>61862</v>
      </c>
      <c r="AX70" s="1">
        <v>57527</v>
      </c>
      <c r="AY70" s="1">
        <v>53151</v>
      </c>
      <c r="AZ70" s="1">
        <v>49422</v>
      </c>
      <c r="BA70" s="1">
        <v>46228</v>
      </c>
      <c r="BB70" s="1">
        <v>42586</v>
      </c>
      <c r="BC70" s="1">
        <v>38590</v>
      </c>
      <c r="BD70" s="1">
        <v>34814</v>
      </c>
      <c r="BE70" s="1">
        <v>31606</v>
      </c>
      <c r="BF70" s="1">
        <v>28893</v>
      </c>
      <c r="BG70" s="1">
        <v>25682</v>
      </c>
      <c r="BH70" s="1">
        <v>22094</v>
      </c>
      <c r="BI70" s="1">
        <v>18747</v>
      </c>
      <c r="BJ70" s="1">
        <v>15972</v>
      </c>
      <c r="BK70" s="1">
        <v>13633</v>
      </c>
      <c r="BL70" s="1">
        <v>50082</v>
      </c>
    </row>
    <row r="71" spans="1:64" x14ac:dyDescent="0.25">
      <c r="A71" s="23"/>
      <c r="B71" s="1" t="s">
        <v>24</v>
      </c>
      <c r="C71" s="1">
        <v>132361</v>
      </c>
      <c r="D71" s="1">
        <v>126137</v>
      </c>
      <c r="E71" s="1">
        <v>119821</v>
      </c>
      <c r="F71" s="1">
        <v>113482</v>
      </c>
      <c r="G71" s="1">
        <v>107514</v>
      </c>
      <c r="H71" s="1">
        <v>101528</v>
      </c>
      <c r="I71" s="1">
        <v>95106</v>
      </c>
      <c r="J71" s="1">
        <v>88642</v>
      </c>
      <c r="K71" s="1">
        <v>82264</v>
      </c>
      <c r="L71" s="1">
        <v>76424</v>
      </c>
      <c r="M71" s="1">
        <v>70527</v>
      </c>
      <c r="N71" s="1">
        <v>64860</v>
      </c>
      <c r="O71" s="1">
        <v>60168</v>
      </c>
      <c r="P71" s="1">
        <v>56139</v>
      </c>
      <c r="Q71" s="1">
        <v>52608</v>
      </c>
      <c r="R71" s="1">
        <v>49171</v>
      </c>
      <c r="S71" s="1">
        <v>45184</v>
      </c>
      <c r="T71" s="1">
        <v>40983</v>
      </c>
      <c r="U71" s="1">
        <v>36760</v>
      </c>
      <c r="V71" s="1">
        <v>33199</v>
      </c>
      <c r="W71" s="1">
        <v>29758</v>
      </c>
      <c r="X71" s="1">
        <v>26210</v>
      </c>
      <c r="Y71" s="1">
        <v>23078</v>
      </c>
      <c r="Z71" s="1">
        <v>20278</v>
      </c>
      <c r="AA71" s="1">
        <v>17921</v>
      </c>
      <c r="AB71" s="1">
        <v>15635</v>
      </c>
      <c r="AC71" s="1">
        <v>13243</v>
      </c>
      <c r="AD71" s="1">
        <v>11087</v>
      </c>
      <c r="AE71" s="1">
        <v>9164</v>
      </c>
      <c r="AF71" s="1">
        <v>7581</v>
      </c>
      <c r="AG71" s="7">
        <v>24540</v>
      </c>
      <c r="AH71" s="1">
        <v>147845</v>
      </c>
      <c r="AI71" s="1">
        <v>141648</v>
      </c>
      <c r="AJ71" s="1">
        <v>135274</v>
      </c>
      <c r="AK71" s="1">
        <v>128801</v>
      </c>
      <c r="AL71" s="1">
        <v>122628</v>
      </c>
      <c r="AM71" s="1">
        <v>116454</v>
      </c>
      <c r="AN71" s="1">
        <v>109934</v>
      </c>
      <c r="AO71" s="1">
        <v>103372</v>
      </c>
      <c r="AP71" s="1">
        <v>96889</v>
      </c>
      <c r="AQ71" s="1">
        <v>90860</v>
      </c>
      <c r="AR71" s="1">
        <v>84822</v>
      </c>
      <c r="AS71" s="1">
        <v>79169</v>
      </c>
      <c r="AT71" s="1">
        <v>74553</v>
      </c>
      <c r="AU71" s="1">
        <v>70652</v>
      </c>
      <c r="AV71" s="1">
        <v>67133</v>
      </c>
      <c r="AW71" s="1">
        <v>63635</v>
      </c>
      <c r="AX71" s="1">
        <v>59636</v>
      </c>
      <c r="AY71" s="1">
        <v>55455</v>
      </c>
      <c r="AZ71" s="1">
        <v>51238</v>
      </c>
      <c r="BA71" s="1">
        <v>47644</v>
      </c>
      <c r="BB71" s="1">
        <v>44044</v>
      </c>
      <c r="BC71" s="1">
        <v>40066</v>
      </c>
      <c r="BD71" s="1">
        <v>36308</v>
      </c>
      <c r="BE71" s="1">
        <v>32755</v>
      </c>
      <c r="BF71" s="1">
        <v>29738</v>
      </c>
      <c r="BG71" s="1">
        <v>26661</v>
      </c>
      <c r="BH71" s="1">
        <v>23190</v>
      </c>
      <c r="BI71" s="1">
        <v>19951</v>
      </c>
      <c r="BJ71" s="1">
        <v>16930</v>
      </c>
      <c r="BK71" s="1">
        <v>14422</v>
      </c>
      <c r="BL71" s="1">
        <v>55290</v>
      </c>
    </row>
    <row r="72" spans="1:64" x14ac:dyDescent="0.25">
      <c r="A72" s="23"/>
      <c r="B72" s="1" t="s">
        <v>25</v>
      </c>
      <c r="C72" s="1">
        <v>136500</v>
      </c>
      <c r="D72" s="1">
        <v>130426</v>
      </c>
      <c r="E72" s="1">
        <v>124294</v>
      </c>
      <c r="F72" s="1">
        <v>118070</v>
      </c>
      <c r="G72" s="1">
        <v>111824</v>
      </c>
      <c r="H72" s="1">
        <v>105527</v>
      </c>
      <c r="I72" s="1">
        <v>99249</v>
      </c>
      <c r="J72" s="1">
        <v>92971</v>
      </c>
      <c r="K72" s="1">
        <v>86654</v>
      </c>
      <c r="L72" s="1">
        <v>80420</v>
      </c>
      <c r="M72" s="1">
        <v>74256</v>
      </c>
      <c r="N72" s="1">
        <v>68085</v>
      </c>
      <c r="O72" s="1">
        <v>62615</v>
      </c>
      <c r="P72" s="1">
        <v>58085</v>
      </c>
      <c r="Q72" s="1">
        <v>54197</v>
      </c>
      <c r="R72" s="1">
        <v>50309</v>
      </c>
      <c r="S72" s="1">
        <v>46551</v>
      </c>
      <c r="T72" s="1">
        <v>42775</v>
      </c>
      <c r="U72" s="1">
        <v>38799</v>
      </c>
      <c r="V72" s="1">
        <v>34799</v>
      </c>
      <c r="W72" s="1">
        <v>31026</v>
      </c>
      <c r="X72" s="1">
        <v>27422</v>
      </c>
      <c r="Y72" s="1">
        <v>24154</v>
      </c>
      <c r="Z72" s="1">
        <v>21266</v>
      </c>
      <c r="AA72" s="1">
        <v>18686</v>
      </c>
      <c r="AB72" s="1">
        <v>16208</v>
      </c>
      <c r="AC72" s="1">
        <v>13850</v>
      </c>
      <c r="AD72" s="1">
        <v>11729</v>
      </c>
      <c r="AE72" s="1">
        <v>9821</v>
      </c>
      <c r="AF72" s="1">
        <v>8120</v>
      </c>
      <c r="AG72" s="7">
        <v>27027</v>
      </c>
      <c r="AH72" s="1">
        <v>152664</v>
      </c>
      <c r="AI72" s="1">
        <v>146642</v>
      </c>
      <c r="AJ72" s="1">
        <v>140497</v>
      </c>
      <c r="AK72" s="1">
        <v>134174</v>
      </c>
      <c r="AL72" s="1">
        <v>127755</v>
      </c>
      <c r="AM72" s="1">
        <v>121310</v>
      </c>
      <c r="AN72" s="1">
        <v>114889</v>
      </c>
      <c r="AO72" s="1">
        <v>108458</v>
      </c>
      <c r="AP72" s="1">
        <v>101981</v>
      </c>
      <c r="AQ72" s="1">
        <v>95587</v>
      </c>
      <c r="AR72" s="1">
        <v>89293</v>
      </c>
      <c r="AS72" s="1">
        <v>83027</v>
      </c>
      <c r="AT72" s="1">
        <v>77492</v>
      </c>
      <c r="AU72" s="1">
        <v>72975</v>
      </c>
      <c r="AV72" s="1">
        <v>69155</v>
      </c>
      <c r="AW72" s="1">
        <v>65251</v>
      </c>
      <c r="AX72" s="1">
        <v>61394</v>
      </c>
      <c r="AY72" s="1">
        <v>57535</v>
      </c>
      <c r="AZ72" s="1">
        <v>53502</v>
      </c>
      <c r="BA72" s="1">
        <v>49434</v>
      </c>
      <c r="BB72" s="1">
        <v>45443</v>
      </c>
      <c r="BC72" s="1">
        <v>41494</v>
      </c>
      <c r="BD72" s="1">
        <v>37749</v>
      </c>
      <c r="BE72" s="1">
        <v>34208</v>
      </c>
      <c r="BF72" s="1">
        <v>30860</v>
      </c>
      <c r="BG72" s="1">
        <v>27493</v>
      </c>
      <c r="BH72" s="1">
        <v>24132</v>
      </c>
      <c r="BI72" s="1">
        <v>20990</v>
      </c>
      <c r="BJ72" s="1">
        <v>18060</v>
      </c>
      <c r="BK72" s="1">
        <v>15325</v>
      </c>
      <c r="BL72" s="1">
        <v>60581</v>
      </c>
    </row>
    <row r="73" spans="1:64" x14ac:dyDescent="0.25">
      <c r="A73" s="23"/>
      <c r="B73" s="1" t="s">
        <v>26</v>
      </c>
      <c r="C73" s="1">
        <v>140678</v>
      </c>
      <c r="D73" s="1">
        <v>134542</v>
      </c>
      <c r="E73" s="1">
        <v>128555</v>
      </c>
      <c r="F73" s="1">
        <v>122513</v>
      </c>
      <c r="G73" s="1">
        <v>116377</v>
      </c>
      <c r="H73" s="1">
        <v>109798</v>
      </c>
      <c r="I73" s="1">
        <v>103203</v>
      </c>
      <c r="J73" s="1">
        <v>97064</v>
      </c>
      <c r="K73" s="1">
        <v>90925</v>
      </c>
      <c r="L73" s="1">
        <v>84750</v>
      </c>
      <c r="M73" s="1">
        <v>78178</v>
      </c>
      <c r="N73" s="1">
        <v>71729</v>
      </c>
      <c r="O73" s="1">
        <v>65769</v>
      </c>
      <c r="P73" s="1">
        <v>60486</v>
      </c>
      <c r="Q73" s="1">
        <v>56109</v>
      </c>
      <c r="R73" s="1">
        <v>51868</v>
      </c>
      <c r="S73" s="1">
        <v>47673</v>
      </c>
      <c r="T73" s="1">
        <v>44110</v>
      </c>
      <c r="U73" s="1">
        <v>40531</v>
      </c>
      <c r="V73" s="1">
        <v>36765</v>
      </c>
      <c r="W73" s="1">
        <v>32556</v>
      </c>
      <c r="X73" s="1">
        <v>28625</v>
      </c>
      <c r="Y73" s="1">
        <v>25301</v>
      </c>
      <c r="Z73" s="1">
        <v>22286</v>
      </c>
      <c r="AA73" s="1">
        <v>19620</v>
      </c>
      <c r="AB73" s="1">
        <v>16925</v>
      </c>
      <c r="AC73" s="1">
        <v>14380</v>
      </c>
      <c r="AD73" s="1">
        <v>12288</v>
      </c>
      <c r="AE73" s="1">
        <v>10407</v>
      </c>
      <c r="AF73" s="1">
        <v>8714</v>
      </c>
      <c r="AG73" s="7">
        <v>29598</v>
      </c>
      <c r="AH73" s="1">
        <v>157447</v>
      </c>
      <c r="AI73" s="1">
        <v>151448</v>
      </c>
      <c r="AJ73" s="1">
        <v>145477</v>
      </c>
      <c r="AK73" s="1">
        <v>139380</v>
      </c>
      <c r="AL73" s="1">
        <v>133107</v>
      </c>
      <c r="AM73" s="1">
        <v>126414</v>
      </c>
      <c r="AN73" s="1">
        <v>119716</v>
      </c>
      <c r="AO73" s="1">
        <v>113379</v>
      </c>
      <c r="AP73" s="1">
        <v>107033</v>
      </c>
      <c r="AQ73" s="1">
        <v>100639</v>
      </c>
      <c r="AR73" s="1">
        <v>93974</v>
      </c>
      <c r="AS73" s="1">
        <v>87443</v>
      </c>
      <c r="AT73" s="1">
        <v>81305</v>
      </c>
      <c r="AU73" s="1">
        <v>75885</v>
      </c>
      <c r="AV73" s="1">
        <v>71462</v>
      </c>
      <c r="AW73" s="1">
        <v>67255</v>
      </c>
      <c r="AX73" s="1">
        <v>63001</v>
      </c>
      <c r="AY73" s="1">
        <v>59278</v>
      </c>
      <c r="AZ73" s="1">
        <v>55551</v>
      </c>
      <c r="BA73" s="1">
        <v>51657</v>
      </c>
      <c r="BB73" s="1">
        <v>47199</v>
      </c>
      <c r="BC73" s="1">
        <v>42868</v>
      </c>
      <c r="BD73" s="1">
        <v>39145</v>
      </c>
      <c r="BE73" s="1">
        <v>35613</v>
      </c>
      <c r="BF73" s="1">
        <v>32273</v>
      </c>
      <c r="BG73" s="1">
        <v>28578</v>
      </c>
      <c r="BH73" s="1">
        <v>24942</v>
      </c>
      <c r="BI73" s="1">
        <v>21894</v>
      </c>
      <c r="BJ73" s="1">
        <v>19043</v>
      </c>
      <c r="BK73" s="1">
        <v>16385</v>
      </c>
      <c r="BL73" s="1">
        <v>66051</v>
      </c>
    </row>
    <row r="74" spans="1:64" x14ac:dyDescent="0.25">
      <c r="A74" s="23"/>
      <c r="B74" s="1" t="s">
        <v>27</v>
      </c>
      <c r="C74" s="1">
        <v>144794</v>
      </c>
      <c r="D74" s="1">
        <v>138697</v>
      </c>
      <c r="E74" s="1">
        <v>132648</v>
      </c>
      <c r="F74" s="1">
        <v>126746</v>
      </c>
      <c r="G74" s="1">
        <v>120790</v>
      </c>
      <c r="H74" s="1">
        <v>114308</v>
      </c>
      <c r="I74" s="1">
        <v>107424</v>
      </c>
      <c r="J74" s="1">
        <v>100974</v>
      </c>
      <c r="K74" s="1">
        <v>94970</v>
      </c>
      <c r="L74" s="1">
        <v>88963</v>
      </c>
      <c r="M74" s="1">
        <v>82426</v>
      </c>
      <c r="N74" s="1">
        <v>75565</v>
      </c>
      <c r="O74" s="1">
        <v>69329</v>
      </c>
      <c r="P74" s="1">
        <v>63571</v>
      </c>
      <c r="Q74" s="1">
        <v>58463</v>
      </c>
      <c r="R74" s="1">
        <v>53738</v>
      </c>
      <c r="S74" s="1">
        <v>49193</v>
      </c>
      <c r="T74" s="1">
        <v>45213</v>
      </c>
      <c r="U74" s="1">
        <v>41834</v>
      </c>
      <c r="V74" s="1">
        <v>38440</v>
      </c>
      <c r="W74" s="1">
        <v>34428</v>
      </c>
      <c r="X74" s="1">
        <v>30075</v>
      </c>
      <c r="Y74" s="1">
        <v>26442</v>
      </c>
      <c r="Z74" s="1">
        <v>23371</v>
      </c>
      <c r="AA74" s="1">
        <v>20585</v>
      </c>
      <c r="AB74" s="1">
        <v>17794</v>
      </c>
      <c r="AC74" s="1">
        <v>15041</v>
      </c>
      <c r="AD74" s="1">
        <v>12778</v>
      </c>
      <c r="AE74" s="1">
        <v>10920</v>
      </c>
      <c r="AF74" s="1">
        <v>9248</v>
      </c>
      <c r="AG74" s="7">
        <v>32291</v>
      </c>
      <c r="AH74" s="1">
        <v>162035</v>
      </c>
      <c r="AI74" s="1">
        <v>156221</v>
      </c>
      <c r="AJ74" s="1">
        <v>150269</v>
      </c>
      <c r="AK74" s="1">
        <v>144346</v>
      </c>
      <c r="AL74" s="1">
        <v>138295</v>
      </c>
      <c r="AM74" s="1">
        <v>131740</v>
      </c>
      <c r="AN74" s="1">
        <v>124789</v>
      </c>
      <c r="AO74" s="1">
        <v>118175</v>
      </c>
      <c r="AP74" s="1">
        <v>111923</v>
      </c>
      <c r="AQ74" s="1">
        <v>105655</v>
      </c>
      <c r="AR74" s="1">
        <v>98977</v>
      </c>
      <c r="AS74" s="1">
        <v>92064</v>
      </c>
      <c r="AT74" s="1">
        <v>85667</v>
      </c>
      <c r="AU74" s="1">
        <v>79652</v>
      </c>
      <c r="AV74" s="1">
        <v>74343</v>
      </c>
      <c r="AW74" s="1">
        <v>69538</v>
      </c>
      <c r="AX74" s="1">
        <v>64984</v>
      </c>
      <c r="AY74" s="1">
        <v>60872</v>
      </c>
      <c r="AZ74" s="1">
        <v>57277</v>
      </c>
      <c r="BA74" s="1">
        <v>53675</v>
      </c>
      <c r="BB74" s="1">
        <v>49369</v>
      </c>
      <c r="BC74" s="1">
        <v>44580</v>
      </c>
      <c r="BD74" s="1">
        <v>40492</v>
      </c>
      <c r="BE74" s="1">
        <v>36977</v>
      </c>
      <c r="BF74" s="1">
        <v>33639</v>
      </c>
      <c r="BG74" s="1">
        <v>29937</v>
      </c>
      <c r="BH74" s="1">
        <v>25982</v>
      </c>
      <c r="BI74" s="1">
        <v>22679</v>
      </c>
      <c r="BJ74" s="1">
        <v>19906</v>
      </c>
      <c r="BK74" s="1">
        <v>17315</v>
      </c>
      <c r="BL74" s="1">
        <v>71824</v>
      </c>
    </row>
    <row r="75" spans="1:64" x14ac:dyDescent="0.25">
      <c r="A75" s="23"/>
      <c r="B75" s="1" t="s">
        <v>28</v>
      </c>
      <c r="C75" s="1">
        <v>149114</v>
      </c>
      <c r="D75" s="1">
        <v>142793</v>
      </c>
      <c r="E75" s="1">
        <v>136779</v>
      </c>
      <c r="F75" s="1">
        <v>130817</v>
      </c>
      <c r="G75" s="1">
        <v>124993</v>
      </c>
      <c r="H75" s="1">
        <v>118682</v>
      </c>
      <c r="I75" s="1">
        <v>111883</v>
      </c>
      <c r="J75" s="1">
        <v>105146</v>
      </c>
      <c r="K75" s="1">
        <v>98834</v>
      </c>
      <c r="L75" s="1">
        <v>92958</v>
      </c>
      <c r="M75" s="1">
        <v>86567</v>
      </c>
      <c r="N75" s="1">
        <v>79715</v>
      </c>
      <c r="O75" s="1">
        <v>73079</v>
      </c>
      <c r="P75" s="1">
        <v>67049</v>
      </c>
      <c r="Q75" s="1">
        <v>61482</v>
      </c>
      <c r="R75" s="1">
        <v>56029</v>
      </c>
      <c r="S75" s="1">
        <v>51011</v>
      </c>
      <c r="T75" s="1">
        <v>46694</v>
      </c>
      <c r="U75" s="1">
        <v>42915</v>
      </c>
      <c r="V75" s="1">
        <v>39710</v>
      </c>
      <c r="W75" s="1">
        <v>36034</v>
      </c>
      <c r="X75" s="1">
        <v>31838</v>
      </c>
      <c r="Y75" s="1">
        <v>27812</v>
      </c>
      <c r="Z75" s="1">
        <v>24455</v>
      </c>
      <c r="AA75" s="1">
        <v>21611</v>
      </c>
      <c r="AB75" s="1">
        <v>18694</v>
      </c>
      <c r="AC75" s="1">
        <v>15837</v>
      </c>
      <c r="AD75" s="1">
        <v>13385</v>
      </c>
      <c r="AE75" s="1">
        <v>11372</v>
      </c>
      <c r="AF75" s="1">
        <v>9719</v>
      </c>
      <c r="AG75" s="7">
        <v>35037</v>
      </c>
      <c r="AH75" s="1">
        <v>166928</v>
      </c>
      <c r="AI75" s="1">
        <v>160801</v>
      </c>
      <c r="AJ75" s="1">
        <v>155030</v>
      </c>
      <c r="AK75" s="1">
        <v>149123</v>
      </c>
      <c r="AL75" s="1">
        <v>143248</v>
      </c>
      <c r="AM75" s="1">
        <v>136902</v>
      </c>
      <c r="AN75" s="1">
        <v>130081</v>
      </c>
      <c r="AO75" s="1">
        <v>123218</v>
      </c>
      <c r="AP75" s="1">
        <v>116688</v>
      </c>
      <c r="AQ75" s="1">
        <v>110514</v>
      </c>
      <c r="AR75" s="1">
        <v>103944</v>
      </c>
      <c r="AS75" s="1">
        <v>97005</v>
      </c>
      <c r="AT75" s="1">
        <v>90230</v>
      </c>
      <c r="AU75" s="1">
        <v>83959</v>
      </c>
      <c r="AV75" s="1">
        <v>78067</v>
      </c>
      <c r="AW75" s="1">
        <v>72381</v>
      </c>
      <c r="AX75" s="1">
        <v>67235</v>
      </c>
      <c r="AY75" s="1">
        <v>62832</v>
      </c>
      <c r="AZ75" s="1">
        <v>58856</v>
      </c>
      <c r="BA75" s="1">
        <v>55382</v>
      </c>
      <c r="BB75" s="1">
        <v>51344</v>
      </c>
      <c r="BC75" s="1">
        <v>46687</v>
      </c>
      <c r="BD75" s="1">
        <v>42159</v>
      </c>
      <c r="BE75" s="1">
        <v>38293</v>
      </c>
      <c r="BF75" s="1">
        <v>34971</v>
      </c>
      <c r="BG75" s="1">
        <v>31253</v>
      </c>
      <c r="BH75" s="1">
        <v>27274</v>
      </c>
      <c r="BI75" s="1">
        <v>23674</v>
      </c>
      <c r="BJ75" s="1">
        <v>20662</v>
      </c>
      <c r="BK75" s="1">
        <v>18136</v>
      </c>
      <c r="BL75" s="1">
        <v>77755</v>
      </c>
    </row>
    <row r="76" spans="1:64" x14ac:dyDescent="0.25">
      <c r="A76" s="23"/>
      <c r="B76" s="1" t="s">
        <v>29</v>
      </c>
      <c r="C76" s="1">
        <v>153872</v>
      </c>
      <c r="D76" s="1">
        <v>147089</v>
      </c>
      <c r="E76" s="1">
        <v>140853</v>
      </c>
      <c r="F76" s="1">
        <v>134924</v>
      </c>
      <c r="G76" s="1">
        <v>129042</v>
      </c>
      <c r="H76" s="1">
        <v>122848</v>
      </c>
      <c r="I76" s="1">
        <v>116210</v>
      </c>
      <c r="J76" s="1">
        <v>109553</v>
      </c>
      <c r="K76" s="1">
        <v>102956</v>
      </c>
      <c r="L76" s="1">
        <v>96779</v>
      </c>
      <c r="M76" s="1">
        <v>90496</v>
      </c>
      <c r="N76" s="1">
        <v>83765</v>
      </c>
      <c r="O76" s="1">
        <v>77135</v>
      </c>
      <c r="P76" s="1">
        <v>70715</v>
      </c>
      <c r="Q76" s="1">
        <v>64880</v>
      </c>
      <c r="R76" s="1">
        <v>58963</v>
      </c>
      <c r="S76" s="1">
        <v>53228</v>
      </c>
      <c r="T76" s="1">
        <v>48459</v>
      </c>
      <c r="U76" s="1">
        <v>44359</v>
      </c>
      <c r="V76" s="1">
        <v>40767</v>
      </c>
      <c r="W76" s="1">
        <v>37259</v>
      </c>
      <c r="X76" s="1">
        <v>33361</v>
      </c>
      <c r="Y76" s="1">
        <v>29476</v>
      </c>
      <c r="Z76" s="1">
        <v>25748</v>
      </c>
      <c r="AA76" s="1">
        <v>22638</v>
      </c>
      <c r="AB76" s="1">
        <v>19651</v>
      </c>
      <c r="AC76" s="1">
        <v>16660</v>
      </c>
      <c r="AD76" s="1">
        <v>14115</v>
      </c>
      <c r="AE76" s="1">
        <v>11930</v>
      </c>
      <c r="AF76" s="1">
        <v>10135</v>
      </c>
      <c r="AG76" s="7">
        <v>37777</v>
      </c>
      <c r="AH76" s="1">
        <v>172379</v>
      </c>
      <c r="AI76" s="1">
        <v>165682</v>
      </c>
      <c r="AJ76" s="1">
        <v>159599</v>
      </c>
      <c r="AK76" s="1">
        <v>153873</v>
      </c>
      <c r="AL76" s="1">
        <v>148009</v>
      </c>
      <c r="AM76" s="1">
        <v>141836</v>
      </c>
      <c r="AN76" s="1">
        <v>135213</v>
      </c>
      <c r="AO76" s="1">
        <v>128477</v>
      </c>
      <c r="AP76" s="1">
        <v>121697</v>
      </c>
      <c r="AQ76" s="1">
        <v>115251</v>
      </c>
      <c r="AR76" s="1">
        <v>108758</v>
      </c>
      <c r="AS76" s="1">
        <v>101911</v>
      </c>
      <c r="AT76" s="1">
        <v>95108</v>
      </c>
      <c r="AU76" s="1">
        <v>88467</v>
      </c>
      <c r="AV76" s="1">
        <v>82316</v>
      </c>
      <c r="AW76" s="1">
        <v>76049</v>
      </c>
      <c r="AX76" s="1">
        <v>70029</v>
      </c>
      <c r="AY76" s="1">
        <v>65051</v>
      </c>
      <c r="AZ76" s="1">
        <v>60791</v>
      </c>
      <c r="BA76" s="1">
        <v>56947</v>
      </c>
      <c r="BB76" s="1">
        <v>53024</v>
      </c>
      <c r="BC76" s="1">
        <v>48610</v>
      </c>
      <c r="BD76" s="1">
        <v>44203</v>
      </c>
      <c r="BE76" s="1">
        <v>39913</v>
      </c>
      <c r="BF76" s="1">
        <v>36256</v>
      </c>
      <c r="BG76" s="1">
        <v>32541</v>
      </c>
      <c r="BH76" s="1">
        <v>28529</v>
      </c>
      <c r="BI76" s="1">
        <v>24899</v>
      </c>
      <c r="BJ76" s="1">
        <v>21612</v>
      </c>
      <c r="BK76" s="1">
        <v>18862</v>
      </c>
      <c r="BL76" s="1">
        <v>83731</v>
      </c>
    </row>
    <row r="77" spans="1:64" x14ac:dyDescent="0.25">
      <c r="A77" s="23"/>
      <c r="B77" s="1" t="s">
        <v>30</v>
      </c>
      <c r="C77" s="1">
        <v>158718</v>
      </c>
      <c r="D77" s="1">
        <v>151817</v>
      </c>
      <c r="E77" s="1">
        <v>145128</v>
      </c>
      <c r="F77" s="1">
        <v>138974</v>
      </c>
      <c r="G77" s="1">
        <v>133124</v>
      </c>
      <c r="H77" s="1">
        <v>126868</v>
      </c>
      <c r="I77" s="1">
        <v>120334</v>
      </c>
      <c r="J77" s="1">
        <v>113831</v>
      </c>
      <c r="K77" s="1">
        <v>107313</v>
      </c>
      <c r="L77" s="1">
        <v>100851</v>
      </c>
      <c r="M77" s="1">
        <v>94257</v>
      </c>
      <c r="N77" s="1">
        <v>87614</v>
      </c>
      <c r="O77" s="1">
        <v>81097</v>
      </c>
      <c r="P77" s="1">
        <v>74678</v>
      </c>
      <c r="Q77" s="1">
        <v>68463</v>
      </c>
      <c r="R77" s="1">
        <v>62262</v>
      </c>
      <c r="S77" s="1">
        <v>56059</v>
      </c>
      <c r="T77" s="1">
        <v>50606</v>
      </c>
      <c r="U77" s="1">
        <v>46071</v>
      </c>
      <c r="V77" s="1">
        <v>42172</v>
      </c>
      <c r="W77" s="1">
        <v>38286</v>
      </c>
      <c r="X77" s="1">
        <v>34530</v>
      </c>
      <c r="Y77" s="1">
        <v>30918</v>
      </c>
      <c r="Z77" s="1">
        <v>27317</v>
      </c>
      <c r="AA77" s="1">
        <v>23861</v>
      </c>
      <c r="AB77" s="1">
        <v>20607</v>
      </c>
      <c r="AC77" s="1">
        <v>17539</v>
      </c>
      <c r="AD77" s="1">
        <v>14868</v>
      </c>
      <c r="AE77" s="1">
        <v>12597</v>
      </c>
      <c r="AF77" s="1">
        <v>10649</v>
      </c>
      <c r="AG77" s="7">
        <v>40466</v>
      </c>
      <c r="AH77" s="1">
        <v>177993</v>
      </c>
      <c r="AI77" s="1">
        <v>171116</v>
      </c>
      <c r="AJ77" s="1">
        <v>164468</v>
      </c>
      <c r="AK77" s="1">
        <v>158432</v>
      </c>
      <c r="AL77" s="1">
        <v>152745</v>
      </c>
      <c r="AM77" s="1">
        <v>146578</v>
      </c>
      <c r="AN77" s="1">
        <v>140120</v>
      </c>
      <c r="AO77" s="1">
        <v>133581</v>
      </c>
      <c r="AP77" s="1">
        <v>126923</v>
      </c>
      <c r="AQ77" s="1">
        <v>120226</v>
      </c>
      <c r="AR77" s="1">
        <v>113454</v>
      </c>
      <c r="AS77" s="1">
        <v>106672</v>
      </c>
      <c r="AT77" s="1">
        <v>99954</v>
      </c>
      <c r="AU77" s="1">
        <v>93283</v>
      </c>
      <c r="AV77" s="1">
        <v>86770</v>
      </c>
      <c r="AW77" s="1">
        <v>80224</v>
      </c>
      <c r="AX77" s="1">
        <v>73625</v>
      </c>
      <c r="AY77" s="1">
        <v>67799</v>
      </c>
      <c r="AZ77" s="1">
        <v>62977</v>
      </c>
      <c r="BA77" s="1">
        <v>58855</v>
      </c>
      <c r="BB77" s="1">
        <v>54566</v>
      </c>
      <c r="BC77" s="1">
        <v>50255</v>
      </c>
      <c r="BD77" s="1">
        <v>46073</v>
      </c>
      <c r="BE77" s="1">
        <v>41895</v>
      </c>
      <c r="BF77" s="1">
        <v>37829</v>
      </c>
      <c r="BG77" s="1">
        <v>33786</v>
      </c>
      <c r="BH77" s="1">
        <v>29762</v>
      </c>
      <c r="BI77" s="1">
        <v>26093</v>
      </c>
      <c r="BJ77" s="1">
        <v>22773</v>
      </c>
      <c r="BK77" s="1">
        <v>19767</v>
      </c>
      <c r="BL77" s="1">
        <v>89671</v>
      </c>
    </row>
    <row r="78" spans="1:64" x14ac:dyDescent="0.25">
      <c r="A78" s="23"/>
      <c r="B78" s="1" t="s">
        <v>31</v>
      </c>
      <c r="C78" s="1">
        <v>163399</v>
      </c>
      <c r="D78" s="1">
        <v>156636</v>
      </c>
      <c r="E78" s="1">
        <v>149824</v>
      </c>
      <c r="F78" s="1">
        <v>143226</v>
      </c>
      <c r="G78" s="1">
        <v>137150</v>
      </c>
      <c r="H78" s="1">
        <v>130919</v>
      </c>
      <c r="I78" s="1">
        <v>124315</v>
      </c>
      <c r="J78" s="1">
        <v>117914</v>
      </c>
      <c r="K78" s="1">
        <v>111542</v>
      </c>
      <c r="L78" s="1">
        <v>105156</v>
      </c>
      <c r="M78" s="1">
        <v>98266</v>
      </c>
      <c r="N78" s="1">
        <v>91300</v>
      </c>
      <c r="O78" s="1">
        <v>84867</v>
      </c>
      <c r="P78" s="1">
        <v>78552</v>
      </c>
      <c r="Q78" s="1">
        <v>72337</v>
      </c>
      <c r="R78" s="1">
        <v>65742</v>
      </c>
      <c r="S78" s="1">
        <v>59240</v>
      </c>
      <c r="T78" s="1">
        <v>53336</v>
      </c>
      <c r="U78" s="1">
        <v>48148</v>
      </c>
      <c r="V78" s="1">
        <v>43834</v>
      </c>
      <c r="W78" s="1">
        <v>39638</v>
      </c>
      <c r="X78" s="1">
        <v>35518</v>
      </c>
      <c r="Y78" s="1">
        <v>32032</v>
      </c>
      <c r="Z78" s="1">
        <v>28684</v>
      </c>
      <c r="AA78" s="1">
        <v>25340</v>
      </c>
      <c r="AB78" s="1">
        <v>21745</v>
      </c>
      <c r="AC78" s="1">
        <v>18415</v>
      </c>
      <c r="AD78" s="1">
        <v>15676</v>
      </c>
      <c r="AE78" s="1">
        <v>13286</v>
      </c>
      <c r="AF78" s="1">
        <v>11258</v>
      </c>
      <c r="AG78" s="7">
        <v>43202</v>
      </c>
      <c r="AH78" s="1">
        <v>183308</v>
      </c>
      <c r="AI78" s="1">
        <v>176713</v>
      </c>
      <c r="AJ78" s="1">
        <v>169888</v>
      </c>
      <c r="AK78" s="1">
        <v>163287</v>
      </c>
      <c r="AL78" s="1">
        <v>157293</v>
      </c>
      <c r="AM78" s="1">
        <v>151297</v>
      </c>
      <c r="AN78" s="1">
        <v>144839</v>
      </c>
      <c r="AO78" s="1">
        <v>138460</v>
      </c>
      <c r="AP78" s="1">
        <v>131998</v>
      </c>
      <c r="AQ78" s="1">
        <v>125418</v>
      </c>
      <c r="AR78" s="1">
        <v>118386</v>
      </c>
      <c r="AS78" s="1">
        <v>111317</v>
      </c>
      <c r="AT78" s="1">
        <v>104660</v>
      </c>
      <c r="AU78" s="1">
        <v>98069</v>
      </c>
      <c r="AV78" s="1">
        <v>91526</v>
      </c>
      <c r="AW78" s="1">
        <v>84605</v>
      </c>
      <c r="AX78" s="1">
        <v>77715</v>
      </c>
      <c r="AY78" s="1">
        <v>71322</v>
      </c>
      <c r="AZ78" s="1">
        <v>65678</v>
      </c>
      <c r="BA78" s="1">
        <v>61007</v>
      </c>
      <c r="BB78" s="1">
        <v>56441</v>
      </c>
      <c r="BC78" s="1">
        <v>51770</v>
      </c>
      <c r="BD78" s="1">
        <v>47679</v>
      </c>
      <c r="BE78" s="1">
        <v>43711</v>
      </c>
      <c r="BF78" s="1">
        <v>39750</v>
      </c>
      <c r="BG78" s="1">
        <v>35299</v>
      </c>
      <c r="BH78" s="1">
        <v>30957</v>
      </c>
      <c r="BI78" s="1">
        <v>27271</v>
      </c>
      <c r="BJ78" s="1">
        <v>23907</v>
      </c>
      <c r="BK78" s="1">
        <v>20866</v>
      </c>
      <c r="BL78" s="1">
        <v>95745</v>
      </c>
    </row>
    <row r="79" spans="1:64" x14ac:dyDescent="0.25">
      <c r="A79" s="23"/>
      <c r="B79" s="1" t="s">
        <v>32</v>
      </c>
      <c r="C79" s="1">
        <v>168091</v>
      </c>
      <c r="D79" s="1">
        <v>161290</v>
      </c>
      <c r="E79" s="1">
        <v>154616</v>
      </c>
      <c r="F79" s="1">
        <v>147890</v>
      </c>
      <c r="G79" s="1">
        <v>141378</v>
      </c>
      <c r="H79" s="1">
        <v>134915</v>
      </c>
      <c r="I79" s="1">
        <v>128329</v>
      </c>
      <c r="J79" s="1">
        <v>121855</v>
      </c>
      <c r="K79" s="1">
        <v>115582</v>
      </c>
      <c r="L79" s="1">
        <v>109338</v>
      </c>
      <c r="M79" s="1">
        <v>102502</v>
      </c>
      <c r="N79" s="1">
        <v>95229</v>
      </c>
      <c r="O79" s="1">
        <v>88478</v>
      </c>
      <c r="P79" s="1">
        <v>82244</v>
      </c>
      <c r="Q79" s="1">
        <v>76125</v>
      </c>
      <c r="R79" s="1">
        <v>69503</v>
      </c>
      <c r="S79" s="1">
        <v>62597</v>
      </c>
      <c r="T79" s="1">
        <v>56404</v>
      </c>
      <c r="U79" s="1">
        <v>50782</v>
      </c>
      <c r="V79" s="1">
        <v>45843</v>
      </c>
      <c r="W79" s="1">
        <v>41234</v>
      </c>
      <c r="X79" s="1">
        <v>36806</v>
      </c>
      <c r="Y79" s="1">
        <v>32981</v>
      </c>
      <c r="Z79" s="1">
        <v>29744</v>
      </c>
      <c r="AA79" s="1">
        <v>26634</v>
      </c>
      <c r="AB79" s="1">
        <v>23120</v>
      </c>
      <c r="AC79" s="1">
        <v>19457</v>
      </c>
      <c r="AD79" s="1">
        <v>16478</v>
      </c>
      <c r="AE79" s="1">
        <v>14027</v>
      </c>
      <c r="AF79" s="1">
        <v>11888</v>
      </c>
      <c r="AG79" s="7">
        <v>46061</v>
      </c>
      <c r="AH79" s="1">
        <v>188581</v>
      </c>
      <c r="AI79" s="1">
        <v>182017</v>
      </c>
      <c r="AJ79" s="1">
        <v>175467</v>
      </c>
      <c r="AK79" s="1">
        <v>168691</v>
      </c>
      <c r="AL79" s="1">
        <v>162136</v>
      </c>
      <c r="AM79" s="1">
        <v>155827</v>
      </c>
      <c r="AN79" s="1">
        <v>149538</v>
      </c>
      <c r="AO79" s="1">
        <v>143155</v>
      </c>
      <c r="AP79" s="1">
        <v>136848</v>
      </c>
      <c r="AQ79" s="1">
        <v>130463</v>
      </c>
      <c r="AR79" s="1">
        <v>123533</v>
      </c>
      <c r="AS79" s="1">
        <v>116193</v>
      </c>
      <c r="AT79" s="1">
        <v>109255</v>
      </c>
      <c r="AU79" s="1">
        <v>102721</v>
      </c>
      <c r="AV79" s="1">
        <v>96252</v>
      </c>
      <c r="AW79" s="1">
        <v>89284</v>
      </c>
      <c r="AX79" s="1">
        <v>82006</v>
      </c>
      <c r="AY79" s="1">
        <v>75326</v>
      </c>
      <c r="AZ79" s="1">
        <v>69131</v>
      </c>
      <c r="BA79" s="1">
        <v>63659</v>
      </c>
      <c r="BB79" s="1">
        <v>58550</v>
      </c>
      <c r="BC79" s="1">
        <v>53598</v>
      </c>
      <c r="BD79" s="1">
        <v>49166</v>
      </c>
      <c r="BE79" s="1">
        <v>45280</v>
      </c>
      <c r="BF79" s="1">
        <v>41512</v>
      </c>
      <c r="BG79" s="1">
        <v>37142</v>
      </c>
      <c r="BH79" s="1">
        <v>32398</v>
      </c>
      <c r="BI79" s="1">
        <v>28414</v>
      </c>
      <c r="BJ79" s="1">
        <v>25029</v>
      </c>
      <c r="BK79" s="1">
        <v>21941</v>
      </c>
      <c r="BL79" s="1">
        <v>102118</v>
      </c>
    </row>
    <row r="80" spans="1:64" x14ac:dyDescent="0.25">
      <c r="A80" s="23"/>
      <c r="B80" s="1" t="s">
        <v>33</v>
      </c>
      <c r="C80" s="1">
        <v>171677</v>
      </c>
      <c r="D80" s="1">
        <v>165957</v>
      </c>
      <c r="E80" s="1">
        <v>159244</v>
      </c>
      <c r="F80" s="1">
        <v>152653</v>
      </c>
      <c r="G80" s="1">
        <v>146013</v>
      </c>
      <c r="H80" s="1">
        <v>139111</v>
      </c>
      <c r="I80" s="1">
        <v>132289</v>
      </c>
      <c r="J80" s="1">
        <v>125831</v>
      </c>
      <c r="K80" s="1">
        <v>119485</v>
      </c>
      <c r="L80" s="1">
        <v>113333</v>
      </c>
      <c r="M80" s="1">
        <v>106619</v>
      </c>
      <c r="N80" s="1">
        <v>99381</v>
      </c>
      <c r="O80" s="1">
        <v>92329</v>
      </c>
      <c r="P80" s="1">
        <v>85782</v>
      </c>
      <c r="Q80" s="1">
        <v>79740</v>
      </c>
      <c r="R80" s="1">
        <v>73184</v>
      </c>
      <c r="S80" s="1">
        <v>66223</v>
      </c>
      <c r="T80" s="1">
        <v>59641</v>
      </c>
      <c r="U80" s="1">
        <v>53739</v>
      </c>
      <c r="V80" s="1">
        <v>48384</v>
      </c>
      <c r="W80" s="1">
        <v>43158</v>
      </c>
      <c r="X80" s="1">
        <v>38324</v>
      </c>
      <c r="Y80" s="1">
        <v>34208</v>
      </c>
      <c r="Z80" s="1">
        <v>30654</v>
      </c>
      <c r="AA80" s="1">
        <v>27644</v>
      </c>
      <c r="AB80" s="1">
        <v>24325</v>
      </c>
      <c r="AC80" s="1">
        <v>20713</v>
      </c>
      <c r="AD80" s="1">
        <v>17430</v>
      </c>
      <c r="AE80" s="1">
        <v>14763</v>
      </c>
      <c r="AF80" s="1">
        <v>12567</v>
      </c>
      <c r="AG80" s="7">
        <v>49046</v>
      </c>
      <c r="AH80" s="1">
        <v>192491</v>
      </c>
      <c r="AI80" s="1">
        <v>187276</v>
      </c>
      <c r="AJ80" s="1">
        <v>180758</v>
      </c>
      <c r="AK80" s="1">
        <v>174251</v>
      </c>
      <c r="AL80" s="1">
        <v>167523</v>
      </c>
      <c r="AM80" s="1">
        <v>160654</v>
      </c>
      <c r="AN80" s="1">
        <v>154047</v>
      </c>
      <c r="AO80" s="1">
        <v>147830</v>
      </c>
      <c r="AP80" s="1">
        <v>141520</v>
      </c>
      <c r="AQ80" s="1">
        <v>135286</v>
      </c>
      <c r="AR80" s="1">
        <v>128534</v>
      </c>
      <c r="AS80" s="1">
        <v>121282</v>
      </c>
      <c r="AT80" s="1">
        <v>114077</v>
      </c>
      <c r="AU80" s="1">
        <v>107265</v>
      </c>
      <c r="AV80" s="1">
        <v>100848</v>
      </c>
      <c r="AW80" s="1">
        <v>93934</v>
      </c>
      <c r="AX80" s="1">
        <v>86588</v>
      </c>
      <c r="AY80" s="1">
        <v>79529</v>
      </c>
      <c r="AZ80" s="1">
        <v>73051</v>
      </c>
      <c r="BA80" s="1">
        <v>67044</v>
      </c>
      <c r="BB80" s="1">
        <v>61138</v>
      </c>
      <c r="BC80" s="1">
        <v>55654</v>
      </c>
      <c r="BD80" s="1">
        <v>50947</v>
      </c>
      <c r="BE80" s="1">
        <v>46736</v>
      </c>
      <c r="BF80" s="1">
        <v>43042</v>
      </c>
      <c r="BG80" s="1">
        <v>38835</v>
      </c>
      <c r="BH80" s="1">
        <v>34147</v>
      </c>
      <c r="BI80" s="1">
        <v>29784</v>
      </c>
      <c r="BJ80" s="1">
        <v>26122</v>
      </c>
      <c r="BK80" s="1">
        <v>23008</v>
      </c>
      <c r="BL80" s="1">
        <v>108738</v>
      </c>
    </row>
    <row r="81" spans="1:64" x14ac:dyDescent="0.25">
      <c r="A81" s="23"/>
      <c r="B81" s="1" t="s">
        <v>34</v>
      </c>
      <c r="C81" s="1">
        <v>173678</v>
      </c>
      <c r="D81" s="1">
        <v>169532</v>
      </c>
      <c r="E81" s="1">
        <v>163884</v>
      </c>
      <c r="F81" s="1">
        <v>157255</v>
      </c>
      <c r="G81" s="1">
        <v>150745</v>
      </c>
      <c r="H81" s="1">
        <v>143709</v>
      </c>
      <c r="I81" s="1">
        <v>136444</v>
      </c>
      <c r="J81" s="1">
        <v>129756</v>
      </c>
      <c r="K81" s="1">
        <v>123420</v>
      </c>
      <c r="L81" s="1">
        <v>117197</v>
      </c>
      <c r="M81" s="1">
        <v>110557</v>
      </c>
      <c r="N81" s="1">
        <v>103417</v>
      </c>
      <c r="O81" s="1">
        <v>96397</v>
      </c>
      <c r="P81" s="1">
        <v>89556</v>
      </c>
      <c r="Q81" s="1">
        <v>83205</v>
      </c>
      <c r="R81" s="1">
        <v>76702</v>
      </c>
      <c r="S81" s="1">
        <v>69776</v>
      </c>
      <c r="T81" s="1">
        <v>63139</v>
      </c>
      <c r="U81" s="1">
        <v>56861</v>
      </c>
      <c r="V81" s="1">
        <v>51235</v>
      </c>
      <c r="W81" s="1">
        <v>45586</v>
      </c>
      <c r="X81" s="1">
        <v>40147</v>
      </c>
      <c r="Y81" s="1">
        <v>35649</v>
      </c>
      <c r="Z81" s="1">
        <v>31822</v>
      </c>
      <c r="AA81" s="1">
        <v>28515</v>
      </c>
      <c r="AB81" s="1">
        <v>25272</v>
      </c>
      <c r="AC81" s="1">
        <v>21818</v>
      </c>
      <c r="AD81" s="1">
        <v>18577</v>
      </c>
      <c r="AE81" s="1">
        <v>15635</v>
      </c>
      <c r="AF81" s="1">
        <v>13241</v>
      </c>
      <c r="AG81" s="7">
        <v>52182</v>
      </c>
      <c r="AH81" s="1">
        <v>194430</v>
      </c>
      <c r="AI81" s="1">
        <v>191182</v>
      </c>
      <c r="AJ81" s="1">
        <v>186001</v>
      </c>
      <c r="AK81" s="1">
        <v>179529</v>
      </c>
      <c r="AL81" s="1">
        <v>173065</v>
      </c>
      <c r="AM81" s="1">
        <v>166018</v>
      </c>
      <c r="AN81" s="1">
        <v>158850</v>
      </c>
      <c r="AO81" s="1">
        <v>152318</v>
      </c>
      <c r="AP81" s="1">
        <v>146170</v>
      </c>
      <c r="AQ81" s="1">
        <v>139933</v>
      </c>
      <c r="AR81" s="1">
        <v>133319</v>
      </c>
      <c r="AS81" s="1">
        <v>126231</v>
      </c>
      <c r="AT81" s="1">
        <v>119108</v>
      </c>
      <c r="AU81" s="1">
        <v>112030</v>
      </c>
      <c r="AV81" s="1">
        <v>105343</v>
      </c>
      <c r="AW81" s="1">
        <v>98458</v>
      </c>
      <c r="AX81" s="1">
        <v>91145</v>
      </c>
      <c r="AY81" s="1">
        <v>84017</v>
      </c>
      <c r="AZ81" s="1">
        <v>77169</v>
      </c>
      <c r="BA81" s="1">
        <v>70881</v>
      </c>
      <c r="BB81" s="1">
        <v>64433</v>
      </c>
      <c r="BC81" s="1">
        <v>58165</v>
      </c>
      <c r="BD81" s="1">
        <v>52950</v>
      </c>
      <c r="BE81" s="1">
        <v>48470</v>
      </c>
      <c r="BF81" s="1">
        <v>44467</v>
      </c>
      <c r="BG81" s="1">
        <v>40314</v>
      </c>
      <c r="BH81" s="1">
        <v>35756</v>
      </c>
      <c r="BI81" s="1">
        <v>31442</v>
      </c>
      <c r="BJ81" s="1">
        <v>27424</v>
      </c>
      <c r="BK81" s="1">
        <v>24051</v>
      </c>
      <c r="BL81" s="1">
        <v>115572</v>
      </c>
    </row>
    <row r="82" spans="1:64" x14ac:dyDescent="0.25">
      <c r="A82" s="23" t="s">
        <v>57</v>
      </c>
      <c r="B82" s="1" t="s">
        <v>20</v>
      </c>
      <c r="C82" s="1">
        <v>45988</v>
      </c>
      <c r="D82" s="1">
        <v>43334</v>
      </c>
      <c r="E82" s="1">
        <v>40795</v>
      </c>
      <c r="F82" s="1">
        <v>38392</v>
      </c>
      <c r="G82" s="1">
        <v>36117</v>
      </c>
      <c r="H82" s="1">
        <v>33911</v>
      </c>
      <c r="I82" s="1">
        <v>31751</v>
      </c>
      <c r="J82" s="1">
        <v>29807</v>
      </c>
      <c r="K82" s="1">
        <v>28149</v>
      </c>
      <c r="L82" s="1">
        <v>26681</v>
      </c>
      <c r="M82" s="1">
        <v>25267</v>
      </c>
      <c r="N82" s="1">
        <v>23963</v>
      </c>
      <c r="O82" s="1">
        <v>22497</v>
      </c>
      <c r="P82" s="1">
        <v>20728</v>
      </c>
      <c r="Q82" s="1">
        <v>18795</v>
      </c>
      <c r="R82" s="1">
        <v>16962</v>
      </c>
      <c r="S82" s="1">
        <v>15169</v>
      </c>
      <c r="T82" s="1">
        <v>13551</v>
      </c>
      <c r="U82" s="1">
        <v>12200</v>
      </c>
      <c r="V82" s="1">
        <v>11042</v>
      </c>
      <c r="W82" s="1">
        <v>9903</v>
      </c>
      <c r="X82" s="1">
        <v>8811</v>
      </c>
      <c r="Y82" s="1">
        <v>7790</v>
      </c>
      <c r="Z82" s="1">
        <v>6832</v>
      </c>
      <c r="AA82" s="1">
        <v>5928</v>
      </c>
      <c r="AB82" s="1">
        <v>5074</v>
      </c>
      <c r="AC82" s="1">
        <v>4259</v>
      </c>
      <c r="AD82" s="1">
        <v>3478</v>
      </c>
      <c r="AE82" s="1">
        <v>2722</v>
      </c>
      <c r="AF82" s="1">
        <v>1984</v>
      </c>
      <c r="AG82" s="7">
        <v>9157</v>
      </c>
      <c r="AH82" s="1">
        <v>48732</v>
      </c>
      <c r="AI82" s="1">
        <v>45943</v>
      </c>
      <c r="AJ82" s="1">
        <v>43258</v>
      </c>
      <c r="AK82" s="1">
        <v>40691</v>
      </c>
      <c r="AL82" s="1">
        <v>38245</v>
      </c>
      <c r="AM82" s="1">
        <v>35876</v>
      </c>
      <c r="AN82" s="1">
        <v>33555</v>
      </c>
      <c r="AO82" s="1">
        <v>31477</v>
      </c>
      <c r="AP82" s="1">
        <v>29726</v>
      </c>
      <c r="AQ82" s="1">
        <v>28195</v>
      </c>
      <c r="AR82" s="1">
        <v>26721</v>
      </c>
      <c r="AS82" s="1">
        <v>25358</v>
      </c>
      <c r="AT82" s="1">
        <v>23872</v>
      </c>
      <c r="AU82" s="1">
        <v>22132</v>
      </c>
      <c r="AV82" s="1">
        <v>20256</v>
      </c>
      <c r="AW82" s="1">
        <v>18482</v>
      </c>
      <c r="AX82" s="1">
        <v>16756</v>
      </c>
      <c r="AY82" s="1">
        <v>15175</v>
      </c>
      <c r="AZ82" s="1">
        <v>13813</v>
      </c>
      <c r="BA82" s="1">
        <v>12606</v>
      </c>
      <c r="BB82" s="1">
        <v>11423</v>
      </c>
      <c r="BC82" s="1">
        <v>10283</v>
      </c>
      <c r="BD82" s="1">
        <v>9205</v>
      </c>
      <c r="BE82" s="1">
        <v>8183</v>
      </c>
      <c r="BF82" s="1">
        <v>7210</v>
      </c>
      <c r="BG82" s="1">
        <v>6278</v>
      </c>
      <c r="BH82" s="1">
        <v>5382</v>
      </c>
      <c r="BI82" s="1">
        <v>4518</v>
      </c>
      <c r="BJ82" s="1">
        <v>3674</v>
      </c>
      <c r="BK82" s="1">
        <v>2847</v>
      </c>
      <c r="BL82" s="1">
        <v>13266</v>
      </c>
    </row>
    <row r="83" spans="1:64" x14ac:dyDescent="0.25">
      <c r="A83" s="23"/>
      <c r="B83" s="1" t="s">
        <v>21</v>
      </c>
      <c r="C83" s="1">
        <v>48069</v>
      </c>
      <c r="D83" s="1">
        <v>45237</v>
      </c>
      <c r="E83" s="1">
        <v>42626</v>
      </c>
      <c r="F83" s="1">
        <v>40132</v>
      </c>
      <c r="G83" s="1">
        <v>37773</v>
      </c>
      <c r="H83" s="1">
        <v>35390</v>
      </c>
      <c r="I83" s="1">
        <v>33087</v>
      </c>
      <c r="J83" s="1">
        <v>30983</v>
      </c>
      <c r="K83" s="1">
        <v>29086</v>
      </c>
      <c r="L83" s="1">
        <v>27471</v>
      </c>
      <c r="M83" s="1">
        <v>25863</v>
      </c>
      <c r="N83" s="1">
        <v>24315</v>
      </c>
      <c r="O83" s="1">
        <v>23063</v>
      </c>
      <c r="P83" s="1">
        <v>21654</v>
      </c>
      <c r="Q83" s="1">
        <v>19953</v>
      </c>
      <c r="R83" s="1">
        <v>17906</v>
      </c>
      <c r="S83" s="1">
        <v>15987</v>
      </c>
      <c r="T83" s="1">
        <v>14297</v>
      </c>
      <c r="U83" s="1">
        <v>12775</v>
      </c>
      <c r="V83" s="1">
        <v>11504</v>
      </c>
      <c r="W83" s="1">
        <v>10277</v>
      </c>
      <c r="X83" s="1">
        <v>9087</v>
      </c>
      <c r="Y83" s="1">
        <v>8087</v>
      </c>
      <c r="Z83" s="1">
        <v>7152</v>
      </c>
      <c r="AA83" s="1">
        <v>6274</v>
      </c>
      <c r="AB83" s="1">
        <v>5333</v>
      </c>
      <c r="AC83" s="1">
        <v>4462</v>
      </c>
      <c r="AD83" s="1">
        <v>3746</v>
      </c>
      <c r="AE83" s="1">
        <v>3062</v>
      </c>
      <c r="AF83" s="1">
        <v>2400</v>
      </c>
      <c r="AG83" s="7">
        <v>9212</v>
      </c>
      <c r="AH83" s="1">
        <v>51258</v>
      </c>
      <c r="AI83" s="1">
        <v>48341</v>
      </c>
      <c r="AJ83" s="1">
        <v>45580</v>
      </c>
      <c r="AK83" s="1">
        <v>42923</v>
      </c>
      <c r="AL83" s="1">
        <v>40383</v>
      </c>
      <c r="AM83" s="1">
        <v>37806</v>
      </c>
      <c r="AN83" s="1">
        <v>35318</v>
      </c>
      <c r="AO83" s="1">
        <v>33037</v>
      </c>
      <c r="AP83" s="1">
        <v>30994</v>
      </c>
      <c r="AQ83" s="1">
        <v>29273</v>
      </c>
      <c r="AR83" s="1">
        <v>27632</v>
      </c>
      <c r="AS83" s="1">
        <v>26057</v>
      </c>
      <c r="AT83" s="1">
        <v>24731</v>
      </c>
      <c r="AU83" s="1">
        <v>23286</v>
      </c>
      <c r="AV83" s="1">
        <v>21591</v>
      </c>
      <c r="AW83" s="1">
        <v>19606</v>
      </c>
      <c r="AX83" s="1">
        <v>17738</v>
      </c>
      <c r="AY83" s="1">
        <v>16087</v>
      </c>
      <c r="AZ83" s="1">
        <v>14574</v>
      </c>
      <c r="BA83" s="1">
        <v>13269</v>
      </c>
      <c r="BB83" s="1">
        <v>11946</v>
      </c>
      <c r="BC83" s="1">
        <v>10665</v>
      </c>
      <c r="BD83" s="1">
        <v>9602</v>
      </c>
      <c r="BE83" s="1">
        <v>8599</v>
      </c>
      <c r="BF83" s="1">
        <v>7648</v>
      </c>
      <c r="BG83" s="1">
        <v>6598</v>
      </c>
      <c r="BH83" s="1">
        <v>5607</v>
      </c>
      <c r="BI83" s="1">
        <v>4811</v>
      </c>
      <c r="BJ83" s="1">
        <v>4039</v>
      </c>
      <c r="BK83" s="1">
        <v>3285</v>
      </c>
      <c r="BL83" s="1">
        <v>13475</v>
      </c>
    </row>
    <row r="84" spans="1:64" x14ac:dyDescent="0.25">
      <c r="A84" s="23"/>
      <c r="B84" s="1" t="s">
        <v>22</v>
      </c>
      <c r="C84" s="1">
        <v>50315</v>
      </c>
      <c r="D84" s="1">
        <v>47290</v>
      </c>
      <c r="E84" s="1">
        <v>44508</v>
      </c>
      <c r="F84" s="1">
        <v>41939</v>
      </c>
      <c r="G84" s="1">
        <v>39490</v>
      </c>
      <c r="H84" s="1">
        <v>37021</v>
      </c>
      <c r="I84" s="1">
        <v>34540</v>
      </c>
      <c r="J84" s="1">
        <v>32294</v>
      </c>
      <c r="K84" s="1">
        <v>30243</v>
      </c>
      <c r="L84" s="1">
        <v>28393</v>
      </c>
      <c r="M84" s="1">
        <v>26635</v>
      </c>
      <c r="N84" s="1">
        <v>24899</v>
      </c>
      <c r="O84" s="1">
        <v>23411</v>
      </c>
      <c r="P84" s="1">
        <v>22208</v>
      </c>
      <c r="Q84" s="1">
        <v>20853</v>
      </c>
      <c r="R84" s="1">
        <v>19019</v>
      </c>
      <c r="S84" s="1">
        <v>16885</v>
      </c>
      <c r="T84" s="1">
        <v>15077</v>
      </c>
      <c r="U84" s="1">
        <v>13485</v>
      </c>
      <c r="V84" s="1">
        <v>12053</v>
      </c>
      <c r="W84" s="1">
        <v>10713</v>
      </c>
      <c r="X84" s="1">
        <v>9437</v>
      </c>
      <c r="Y84" s="1">
        <v>8347</v>
      </c>
      <c r="Z84" s="1">
        <v>7430</v>
      </c>
      <c r="AA84" s="1">
        <v>6573</v>
      </c>
      <c r="AB84" s="1">
        <v>5649</v>
      </c>
      <c r="AC84" s="1">
        <v>4693</v>
      </c>
      <c r="AD84" s="1">
        <v>3929</v>
      </c>
      <c r="AE84" s="1">
        <v>3301</v>
      </c>
      <c r="AF84" s="1">
        <v>2699</v>
      </c>
      <c r="AG84" s="7">
        <v>9623</v>
      </c>
      <c r="AH84" s="1">
        <v>53903</v>
      </c>
      <c r="AI84" s="1">
        <v>50848</v>
      </c>
      <c r="AJ84" s="1">
        <v>47960</v>
      </c>
      <c r="AK84" s="1">
        <v>45228</v>
      </c>
      <c r="AL84" s="1">
        <v>42598</v>
      </c>
      <c r="AM84" s="1">
        <v>39924</v>
      </c>
      <c r="AN84" s="1">
        <v>37225</v>
      </c>
      <c r="AO84" s="1">
        <v>34778</v>
      </c>
      <c r="AP84" s="1">
        <v>32538</v>
      </c>
      <c r="AQ84" s="1">
        <v>30527</v>
      </c>
      <c r="AR84" s="1">
        <v>28695</v>
      </c>
      <c r="AS84" s="1">
        <v>26954</v>
      </c>
      <c r="AT84" s="1">
        <v>25423</v>
      </c>
      <c r="AU84" s="1">
        <v>24131</v>
      </c>
      <c r="AV84" s="1">
        <v>22724</v>
      </c>
      <c r="AW84" s="1">
        <v>20904</v>
      </c>
      <c r="AX84" s="1">
        <v>18829</v>
      </c>
      <c r="AY84" s="1">
        <v>17038</v>
      </c>
      <c r="AZ84" s="1">
        <v>15455</v>
      </c>
      <c r="BA84" s="1">
        <v>14009</v>
      </c>
      <c r="BB84" s="1">
        <v>12581</v>
      </c>
      <c r="BC84" s="1">
        <v>11166</v>
      </c>
      <c r="BD84" s="1">
        <v>9969</v>
      </c>
      <c r="BE84" s="1">
        <v>8978</v>
      </c>
      <c r="BF84" s="1">
        <v>8043</v>
      </c>
      <c r="BG84" s="1">
        <v>7008</v>
      </c>
      <c r="BH84" s="1">
        <v>5905</v>
      </c>
      <c r="BI84" s="1">
        <v>5020</v>
      </c>
      <c r="BJ84" s="1">
        <v>4310</v>
      </c>
      <c r="BK84" s="1">
        <v>3618</v>
      </c>
      <c r="BL84" s="1">
        <v>14058</v>
      </c>
    </row>
    <row r="85" spans="1:64" x14ac:dyDescent="0.25">
      <c r="A85" s="23"/>
      <c r="B85" s="1" t="s">
        <v>23</v>
      </c>
      <c r="C85" s="1">
        <v>52563</v>
      </c>
      <c r="D85" s="1">
        <v>49507</v>
      </c>
      <c r="E85" s="1">
        <v>46534</v>
      </c>
      <c r="F85" s="1">
        <v>43800</v>
      </c>
      <c r="G85" s="1">
        <v>41276</v>
      </c>
      <c r="H85" s="1">
        <v>38710</v>
      </c>
      <c r="I85" s="1">
        <v>36142</v>
      </c>
      <c r="J85" s="1">
        <v>33719</v>
      </c>
      <c r="K85" s="1">
        <v>31530</v>
      </c>
      <c r="L85" s="1">
        <v>29529</v>
      </c>
      <c r="M85" s="1">
        <v>27537</v>
      </c>
      <c r="N85" s="1">
        <v>25655</v>
      </c>
      <c r="O85" s="1">
        <v>23981</v>
      </c>
      <c r="P85" s="1">
        <v>22552</v>
      </c>
      <c r="Q85" s="1">
        <v>21396</v>
      </c>
      <c r="R85" s="1">
        <v>19884</v>
      </c>
      <c r="S85" s="1">
        <v>17946</v>
      </c>
      <c r="T85" s="1">
        <v>15932</v>
      </c>
      <c r="U85" s="1">
        <v>14229</v>
      </c>
      <c r="V85" s="1">
        <v>12731</v>
      </c>
      <c r="W85" s="1">
        <v>11230</v>
      </c>
      <c r="X85" s="1">
        <v>9843</v>
      </c>
      <c r="Y85" s="1">
        <v>8674</v>
      </c>
      <c r="Z85" s="1">
        <v>7675</v>
      </c>
      <c r="AA85" s="1">
        <v>6832</v>
      </c>
      <c r="AB85" s="1">
        <v>5923</v>
      </c>
      <c r="AC85" s="1">
        <v>4978</v>
      </c>
      <c r="AD85" s="1">
        <v>4135</v>
      </c>
      <c r="AE85" s="1">
        <v>3465</v>
      </c>
      <c r="AF85" s="1">
        <v>2912</v>
      </c>
      <c r="AG85" s="7">
        <v>10225</v>
      </c>
      <c r="AH85" s="1">
        <v>56551</v>
      </c>
      <c r="AI85" s="1">
        <v>53473</v>
      </c>
      <c r="AJ85" s="1">
        <v>50451</v>
      </c>
      <c r="AK85" s="1">
        <v>47590</v>
      </c>
      <c r="AL85" s="1">
        <v>44884</v>
      </c>
      <c r="AM85" s="1">
        <v>42118</v>
      </c>
      <c r="AN85" s="1">
        <v>39317</v>
      </c>
      <c r="AO85" s="1">
        <v>36663</v>
      </c>
      <c r="AP85" s="1">
        <v>34257</v>
      </c>
      <c r="AQ85" s="1">
        <v>32056</v>
      </c>
      <c r="AR85" s="1">
        <v>29931</v>
      </c>
      <c r="AS85" s="1">
        <v>28001</v>
      </c>
      <c r="AT85" s="1">
        <v>26305</v>
      </c>
      <c r="AU85" s="1">
        <v>24814</v>
      </c>
      <c r="AV85" s="1">
        <v>23557</v>
      </c>
      <c r="AW85" s="1">
        <v>22010</v>
      </c>
      <c r="AX85" s="1">
        <v>20085</v>
      </c>
      <c r="AY85" s="1">
        <v>18094</v>
      </c>
      <c r="AZ85" s="1">
        <v>16378</v>
      </c>
      <c r="BA85" s="1">
        <v>14861</v>
      </c>
      <c r="BB85" s="1">
        <v>13294</v>
      </c>
      <c r="BC85" s="1">
        <v>11768</v>
      </c>
      <c r="BD85" s="1">
        <v>10447</v>
      </c>
      <c r="BE85" s="1">
        <v>9330</v>
      </c>
      <c r="BF85" s="1">
        <v>8406</v>
      </c>
      <c r="BG85" s="1">
        <v>7379</v>
      </c>
      <c r="BH85" s="1">
        <v>6284</v>
      </c>
      <c r="BI85" s="1">
        <v>5296</v>
      </c>
      <c r="BJ85" s="1">
        <v>4505</v>
      </c>
      <c r="BK85" s="1">
        <v>3867</v>
      </c>
      <c r="BL85" s="1">
        <v>14862</v>
      </c>
    </row>
    <row r="86" spans="1:64" x14ac:dyDescent="0.25">
      <c r="A86" s="23"/>
      <c r="B86" s="1" t="s">
        <v>24</v>
      </c>
      <c r="C86" s="1">
        <v>54796</v>
      </c>
      <c r="D86" s="1">
        <v>51729</v>
      </c>
      <c r="E86" s="1">
        <v>48722</v>
      </c>
      <c r="F86" s="1">
        <v>45799</v>
      </c>
      <c r="G86" s="1">
        <v>43113</v>
      </c>
      <c r="H86" s="1">
        <v>40468</v>
      </c>
      <c r="I86" s="1">
        <v>37801</v>
      </c>
      <c r="J86" s="1">
        <v>35293</v>
      </c>
      <c r="K86" s="1">
        <v>32929</v>
      </c>
      <c r="L86" s="1">
        <v>30795</v>
      </c>
      <c r="M86" s="1">
        <v>28647</v>
      </c>
      <c r="N86" s="1">
        <v>26533</v>
      </c>
      <c r="O86" s="1">
        <v>24719</v>
      </c>
      <c r="P86" s="1">
        <v>23110</v>
      </c>
      <c r="Q86" s="1">
        <v>21735</v>
      </c>
      <c r="R86" s="1">
        <v>20412</v>
      </c>
      <c r="S86" s="1">
        <v>18772</v>
      </c>
      <c r="T86" s="1">
        <v>16942</v>
      </c>
      <c r="U86" s="1">
        <v>15045</v>
      </c>
      <c r="V86" s="1">
        <v>13440</v>
      </c>
      <c r="W86" s="1">
        <v>11867</v>
      </c>
      <c r="X86" s="1">
        <v>10327</v>
      </c>
      <c r="Y86" s="1">
        <v>9054</v>
      </c>
      <c r="Z86" s="1">
        <v>7979</v>
      </c>
      <c r="AA86" s="1">
        <v>7063</v>
      </c>
      <c r="AB86" s="1">
        <v>6161</v>
      </c>
      <c r="AC86" s="1">
        <v>5225</v>
      </c>
      <c r="AD86" s="1">
        <v>4391</v>
      </c>
      <c r="AE86" s="1">
        <v>3649</v>
      </c>
      <c r="AF86" s="1">
        <v>3063</v>
      </c>
      <c r="AG86" s="7">
        <v>10905</v>
      </c>
      <c r="AH86" s="1">
        <v>59181</v>
      </c>
      <c r="AI86" s="1">
        <v>56101</v>
      </c>
      <c r="AJ86" s="1">
        <v>53057</v>
      </c>
      <c r="AK86" s="1">
        <v>50061</v>
      </c>
      <c r="AL86" s="1">
        <v>47230</v>
      </c>
      <c r="AM86" s="1">
        <v>44382</v>
      </c>
      <c r="AN86" s="1">
        <v>41486</v>
      </c>
      <c r="AO86" s="1">
        <v>38730</v>
      </c>
      <c r="AP86" s="1">
        <v>36121</v>
      </c>
      <c r="AQ86" s="1">
        <v>33753</v>
      </c>
      <c r="AR86" s="1">
        <v>31440</v>
      </c>
      <c r="AS86" s="1">
        <v>29213</v>
      </c>
      <c r="AT86" s="1">
        <v>27336</v>
      </c>
      <c r="AU86" s="1">
        <v>25683</v>
      </c>
      <c r="AV86" s="1">
        <v>24231</v>
      </c>
      <c r="AW86" s="1">
        <v>22826</v>
      </c>
      <c r="AX86" s="1">
        <v>21158</v>
      </c>
      <c r="AY86" s="1">
        <v>19311</v>
      </c>
      <c r="AZ86" s="1">
        <v>17401</v>
      </c>
      <c r="BA86" s="1">
        <v>15755</v>
      </c>
      <c r="BB86" s="1">
        <v>14111</v>
      </c>
      <c r="BC86" s="1">
        <v>12448</v>
      </c>
      <c r="BD86" s="1">
        <v>11020</v>
      </c>
      <c r="BE86" s="1">
        <v>9787</v>
      </c>
      <c r="BF86" s="1">
        <v>8743</v>
      </c>
      <c r="BG86" s="1">
        <v>7721</v>
      </c>
      <c r="BH86" s="1">
        <v>6627</v>
      </c>
      <c r="BI86" s="1">
        <v>5645</v>
      </c>
      <c r="BJ86" s="1">
        <v>4761</v>
      </c>
      <c r="BK86" s="1">
        <v>4048</v>
      </c>
      <c r="BL86" s="1">
        <v>15779</v>
      </c>
    </row>
    <row r="87" spans="1:64" x14ac:dyDescent="0.25">
      <c r="A87" s="23"/>
      <c r="B87" s="1" t="s">
        <v>25</v>
      </c>
      <c r="C87" s="1">
        <v>57014</v>
      </c>
      <c r="D87" s="1">
        <v>53935</v>
      </c>
      <c r="E87" s="1">
        <v>50919</v>
      </c>
      <c r="F87" s="1">
        <v>47959</v>
      </c>
      <c r="G87" s="1">
        <v>45086</v>
      </c>
      <c r="H87" s="1">
        <v>42279</v>
      </c>
      <c r="I87" s="1">
        <v>39527</v>
      </c>
      <c r="J87" s="1">
        <v>36921</v>
      </c>
      <c r="K87" s="1">
        <v>34474</v>
      </c>
      <c r="L87" s="1">
        <v>32168</v>
      </c>
      <c r="M87" s="1">
        <v>29886</v>
      </c>
      <c r="N87" s="1">
        <v>27610</v>
      </c>
      <c r="O87" s="1">
        <v>25577</v>
      </c>
      <c r="P87" s="1">
        <v>23829</v>
      </c>
      <c r="Q87" s="1">
        <v>22280</v>
      </c>
      <c r="R87" s="1">
        <v>20746</v>
      </c>
      <c r="S87" s="1">
        <v>19280</v>
      </c>
      <c r="T87" s="1">
        <v>17732</v>
      </c>
      <c r="U87" s="1">
        <v>16007</v>
      </c>
      <c r="V87" s="1">
        <v>14216</v>
      </c>
      <c r="W87" s="1">
        <v>12538</v>
      </c>
      <c r="X87" s="1">
        <v>10918</v>
      </c>
      <c r="Y87" s="1">
        <v>9505</v>
      </c>
      <c r="Z87" s="1">
        <v>8336</v>
      </c>
      <c r="AA87" s="1">
        <v>7347</v>
      </c>
      <c r="AB87" s="1">
        <v>6375</v>
      </c>
      <c r="AC87" s="1">
        <v>5438</v>
      </c>
      <c r="AD87" s="1">
        <v>4614</v>
      </c>
      <c r="AE87" s="1">
        <v>3879</v>
      </c>
      <c r="AF87" s="1">
        <v>3227</v>
      </c>
      <c r="AG87" s="7">
        <v>11604</v>
      </c>
      <c r="AH87" s="1">
        <v>61807</v>
      </c>
      <c r="AI87" s="1">
        <v>58714</v>
      </c>
      <c r="AJ87" s="1">
        <v>55662</v>
      </c>
      <c r="AK87" s="1">
        <v>52650</v>
      </c>
      <c r="AL87" s="1">
        <v>49683</v>
      </c>
      <c r="AM87" s="1">
        <v>46705</v>
      </c>
      <c r="AN87" s="1">
        <v>43724</v>
      </c>
      <c r="AO87" s="1">
        <v>40876</v>
      </c>
      <c r="AP87" s="1">
        <v>38162</v>
      </c>
      <c r="AQ87" s="1">
        <v>35595</v>
      </c>
      <c r="AR87" s="1">
        <v>33112</v>
      </c>
      <c r="AS87" s="1">
        <v>30698</v>
      </c>
      <c r="AT87" s="1">
        <v>28523</v>
      </c>
      <c r="AU87" s="1">
        <v>26698</v>
      </c>
      <c r="AV87" s="1">
        <v>25086</v>
      </c>
      <c r="AW87" s="1">
        <v>23489</v>
      </c>
      <c r="AX87" s="1">
        <v>21955</v>
      </c>
      <c r="AY87" s="1">
        <v>20352</v>
      </c>
      <c r="AZ87" s="1">
        <v>18580</v>
      </c>
      <c r="BA87" s="1">
        <v>16746</v>
      </c>
      <c r="BB87" s="1">
        <v>14971</v>
      </c>
      <c r="BC87" s="1">
        <v>13223</v>
      </c>
      <c r="BD87" s="1">
        <v>11668</v>
      </c>
      <c r="BE87" s="1">
        <v>10332</v>
      </c>
      <c r="BF87" s="1">
        <v>9180</v>
      </c>
      <c r="BG87" s="1">
        <v>8040</v>
      </c>
      <c r="BH87" s="1">
        <v>6945</v>
      </c>
      <c r="BI87" s="1">
        <v>5963</v>
      </c>
      <c r="BJ87" s="1">
        <v>5082</v>
      </c>
      <c r="BK87" s="1">
        <v>4286</v>
      </c>
      <c r="BL87" s="1">
        <v>16731</v>
      </c>
    </row>
    <row r="88" spans="1:64" x14ac:dyDescent="0.25">
      <c r="A88" s="23"/>
      <c r="B88" s="1" t="s">
        <v>26</v>
      </c>
      <c r="C88" s="1">
        <v>59364</v>
      </c>
      <c r="D88" s="1">
        <v>56127</v>
      </c>
      <c r="E88" s="1">
        <v>53097</v>
      </c>
      <c r="F88" s="1">
        <v>50130</v>
      </c>
      <c r="G88" s="1">
        <v>47220</v>
      </c>
      <c r="H88" s="1">
        <v>44220</v>
      </c>
      <c r="I88" s="1">
        <v>41305</v>
      </c>
      <c r="J88" s="1">
        <v>38617</v>
      </c>
      <c r="K88" s="1">
        <v>36073</v>
      </c>
      <c r="L88" s="1">
        <v>33685</v>
      </c>
      <c r="M88" s="1">
        <v>31228</v>
      </c>
      <c r="N88" s="1">
        <v>28816</v>
      </c>
      <c r="O88" s="1">
        <v>26623</v>
      </c>
      <c r="P88" s="1">
        <v>24665</v>
      </c>
      <c r="Q88" s="1">
        <v>22981</v>
      </c>
      <c r="R88" s="1">
        <v>21275</v>
      </c>
      <c r="S88" s="1">
        <v>19606</v>
      </c>
      <c r="T88" s="1">
        <v>18223</v>
      </c>
      <c r="U88" s="1">
        <v>16759</v>
      </c>
      <c r="V88" s="1">
        <v>15135</v>
      </c>
      <c r="W88" s="1">
        <v>13267</v>
      </c>
      <c r="X88" s="1">
        <v>11546</v>
      </c>
      <c r="Y88" s="1">
        <v>10055</v>
      </c>
      <c r="Z88" s="1">
        <v>8755</v>
      </c>
      <c r="AA88" s="1">
        <v>7680</v>
      </c>
      <c r="AB88" s="1">
        <v>6635</v>
      </c>
      <c r="AC88" s="1">
        <v>5635</v>
      </c>
      <c r="AD88" s="1">
        <v>4805</v>
      </c>
      <c r="AE88" s="1">
        <v>4083</v>
      </c>
      <c r="AF88" s="1">
        <v>3429</v>
      </c>
      <c r="AG88" s="7">
        <v>12330</v>
      </c>
      <c r="AH88" s="1">
        <v>64524</v>
      </c>
      <c r="AI88" s="1">
        <v>61322</v>
      </c>
      <c r="AJ88" s="1">
        <v>58260</v>
      </c>
      <c r="AK88" s="1">
        <v>55236</v>
      </c>
      <c r="AL88" s="1">
        <v>52253</v>
      </c>
      <c r="AM88" s="1">
        <v>49134</v>
      </c>
      <c r="AN88" s="1">
        <v>46020</v>
      </c>
      <c r="AO88" s="1">
        <v>43087</v>
      </c>
      <c r="AP88" s="1">
        <v>40285</v>
      </c>
      <c r="AQ88" s="1">
        <v>37613</v>
      </c>
      <c r="AR88" s="1">
        <v>34924</v>
      </c>
      <c r="AS88" s="1">
        <v>32339</v>
      </c>
      <c r="AT88" s="1">
        <v>29984</v>
      </c>
      <c r="AU88" s="1">
        <v>27864</v>
      </c>
      <c r="AV88" s="1">
        <v>26086</v>
      </c>
      <c r="AW88" s="1">
        <v>24326</v>
      </c>
      <c r="AX88" s="1">
        <v>22604</v>
      </c>
      <c r="AY88" s="1">
        <v>21130</v>
      </c>
      <c r="AZ88" s="1">
        <v>19589</v>
      </c>
      <c r="BA88" s="1">
        <v>17888</v>
      </c>
      <c r="BB88" s="1">
        <v>15922</v>
      </c>
      <c r="BC88" s="1">
        <v>14044</v>
      </c>
      <c r="BD88" s="1">
        <v>12405</v>
      </c>
      <c r="BE88" s="1">
        <v>10948</v>
      </c>
      <c r="BF88" s="1">
        <v>9699</v>
      </c>
      <c r="BG88" s="1">
        <v>8450</v>
      </c>
      <c r="BH88" s="1">
        <v>7245</v>
      </c>
      <c r="BI88" s="1">
        <v>6259</v>
      </c>
      <c r="BJ88" s="1">
        <v>5375</v>
      </c>
      <c r="BK88" s="1">
        <v>4583</v>
      </c>
      <c r="BL88" s="1">
        <v>17765</v>
      </c>
    </row>
    <row r="89" spans="1:64" x14ac:dyDescent="0.25">
      <c r="A89" s="23"/>
      <c r="B89" s="1" t="s">
        <v>27</v>
      </c>
      <c r="C89" s="1">
        <v>61824</v>
      </c>
      <c r="D89" s="1">
        <v>58448</v>
      </c>
      <c r="E89" s="1">
        <v>55264</v>
      </c>
      <c r="F89" s="1">
        <v>52284</v>
      </c>
      <c r="G89" s="1">
        <v>49363</v>
      </c>
      <c r="H89" s="1">
        <v>46323</v>
      </c>
      <c r="I89" s="1">
        <v>43211</v>
      </c>
      <c r="J89" s="1">
        <v>40363</v>
      </c>
      <c r="K89" s="1">
        <v>37739</v>
      </c>
      <c r="L89" s="1">
        <v>35256</v>
      </c>
      <c r="M89" s="1">
        <v>32708</v>
      </c>
      <c r="N89" s="1">
        <v>30121</v>
      </c>
      <c r="O89" s="1">
        <v>27795</v>
      </c>
      <c r="P89" s="1">
        <v>25682</v>
      </c>
      <c r="Q89" s="1">
        <v>23794</v>
      </c>
      <c r="R89" s="1">
        <v>21956</v>
      </c>
      <c r="S89" s="1">
        <v>20117</v>
      </c>
      <c r="T89" s="1">
        <v>18539</v>
      </c>
      <c r="U89" s="1">
        <v>17233</v>
      </c>
      <c r="V89" s="1">
        <v>15852</v>
      </c>
      <c r="W89" s="1">
        <v>14136</v>
      </c>
      <c r="X89" s="1">
        <v>12223</v>
      </c>
      <c r="Y89" s="1">
        <v>10639</v>
      </c>
      <c r="Z89" s="1">
        <v>9268</v>
      </c>
      <c r="AA89" s="1">
        <v>8070</v>
      </c>
      <c r="AB89" s="1">
        <v>6942</v>
      </c>
      <c r="AC89" s="1">
        <v>5870</v>
      </c>
      <c r="AD89" s="1">
        <v>4984</v>
      </c>
      <c r="AE89" s="1">
        <v>4253</v>
      </c>
      <c r="AF89" s="1">
        <v>3616</v>
      </c>
      <c r="AG89" s="7">
        <v>13110</v>
      </c>
      <c r="AH89" s="1">
        <v>67313</v>
      </c>
      <c r="AI89" s="1">
        <v>64020</v>
      </c>
      <c r="AJ89" s="1">
        <v>60851</v>
      </c>
      <c r="AK89" s="1">
        <v>57814</v>
      </c>
      <c r="AL89" s="1">
        <v>54821</v>
      </c>
      <c r="AM89" s="1">
        <v>51682</v>
      </c>
      <c r="AN89" s="1">
        <v>48421</v>
      </c>
      <c r="AO89" s="1">
        <v>45356</v>
      </c>
      <c r="AP89" s="1">
        <v>42470</v>
      </c>
      <c r="AQ89" s="1">
        <v>39710</v>
      </c>
      <c r="AR89" s="1">
        <v>36914</v>
      </c>
      <c r="AS89" s="1">
        <v>34117</v>
      </c>
      <c r="AT89" s="1">
        <v>31596</v>
      </c>
      <c r="AU89" s="1">
        <v>29299</v>
      </c>
      <c r="AV89" s="1">
        <v>27228</v>
      </c>
      <c r="AW89" s="1">
        <v>25308</v>
      </c>
      <c r="AX89" s="1">
        <v>23420</v>
      </c>
      <c r="AY89" s="1">
        <v>21764</v>
      </c>
      <c r="AZ89" s="1">
        <v>20350</v>
      </c>
      <c r="BA89" s="1">
        <v>18868</v>
      </c>
      <c r="BB89" s="1">
        <v>17019</v>
      </c>
      <c r="BC89" s="1">
        <v>14948</v>
      </c>
      <c r="BD89" s="1">
        <v>13185</v>
      </c>
      <c r="BE89" s="1">
        <v>11651</v>
      </c>
      <c r="BF89" s="1">
        <v>10285</v>
      </c>
      <c r="BG89" s="1">
        <v>8938</v>
      </c>
      <c r="BH89" s="1">
        <v>7624</v>
      </c>
      <c r="BI89" s="1">
        <v>6539</v>
      </c>
      <c r="BJ89" s="1">
        <v>5650</v>
      </c>
      <c r="BK89" s="1">
        <v>4852</v>
      </c>
      <c r="BL89" s="1">
        <v>18926</v>
      </c>
    </row>
    <row r="90" spans="1:64" x14ac:dyDescent="0.25">
      <c r="A90" s="23"/>
      <c r="B90" s="1" t="s">
        <v>28</v>
      </c>
      <c r="C90" s="1">
        <v>64367</v>
      </c>
      <c r="D90" s="1">
        <v>60878</v>
      </c>
      <c r="E90" s="1">
        <v>57558</v>
      </c>
      <c r="F90" s="1">
        <v>54424</v>
      </c>
      <c r="G90" s="1">
        <v>51493</v>
      </c>
      <c r="H90" s="1">
        <v>48433</v>
      </c>
      <c r="I90" s="1">
        <v>45276</v>
      </c>
      <c r="J90" s="1">
        <v>42235</v>
      </c>
      <c r="K90" s="1">
        <v>39454</v>
      </c>
      <c r="L90" s="1">
        <v>36892</v>
      </c>
      <c r="M90" s="1">
        <v>34244</v>
      </c>
      <c r="N90" s="1">
        <v>31558</v>
      </c>
      <c r="O90" s="1">
        <v>29064</v>
      </c>
      <c r="P90" s="1">
        <v>26822</v>
      </c>
      <c r="Q90" s="1">
        <v>24784</v>
      </c>
      <c r="R90" s="1">
        <v>22741</v>
      </c>
      <c r="S90" s="1">
        <v>20769</v>
      </c>
      <c r="T90" s="1">
        <v>19033</v>
      </c>
      <c r="U90" s="1">
        <v>17542</v>
      </c>
      <c r="V90" s="1">
        <v>16309</v>
      </c>
      <c r="W90" s="1">
        <v>14812</v>
      </c>
      <c r="X90" s="1">
        <v>13032</v>
      </c>
      <c r="Y90" s="1">
        <v>11270</v>
      </c>
      <c r="Z90" s="1">
        <v>9813</v>
      </c>
      <c r="AA90" s="1">
        <v>8547</v>
      </c>
      <c r="AB90" s="1">
        <v>7300</v>
      </c>
      <c r="AC90" s="1">
        <v>6146</v>
      </c>
      <c r="AD90" s="1">
        <v>5198</v>
      </c>
      <c r="AE90" s="1">
        <v>4414</v>
      </c>
      <c r="AF90" s="1">
        <v>3769</v>
      </c>
      <c r="AG90" s="7">
        <v>13925</v>
      </c>
      <c r="AH90" s="1">
        <v>70207</v>
      </c>
      <c r="AI90" s="1">
        <v>66792</v>
      </c>
      <c r="AJ90" s="1">
        <v>63529</v>
      </c>
      <c r="AK90" s="1">
        <v>60388</v>
      </c>
      <c r="AL90" s="1">
        <v>57381</v>
      </c>
      <c r="AM90" s="1">
        <v>54226</v>
      </c>
      <c r="AN90" s="1">
        <v>50942</v>
      </c>
      <c r="AO90" s="1">
        <v>47729</v>
      </c>
      <c r="AP90" s="1">
        <v>44714</v>
      </c>
      <c r="AQ90" s="1">
        <v>41871</v>
      </c>
      <c r="AR90" s="1">
        <v>38979</v>
      </c>
      <c r="AS90" s="1">
        <v>36070</v>
      </c>
      <c r="AT90" s="1">
        <v>33341</v>
      </c>
      <c r="AU90" s="1">
        <v>30882</v>
      </c>
      <c r="AV90" s="1">
        <v>28639</v>
      </c>
      <c r="AW90" s="1">
        <v>26423</v>
      </c>
      <c r="AX90" s="1">
        <v>24377</v>
      </c>
      <c r="AY90" s="1">
        <v>22559</v>
      </c>
      <c r="AZ90" s="1">
        <v>20972</v>
      </c>
      <c r="BA90" s="1">
        <v>19609</v>
      </c>
      <c r="BB90" s="1">
        <v>17962</v>
      </c>
      <c r="BC90" s="1">
        <v>15991</v>
      </c>
      <c r="BD90" s="1">
        <v>14047</v>
      </c>
      <c r="BE90" s="1">
        <v>12392</v>
      </c>
      <c r="BF90" s="1">
        <v>10953</v>
      </c>
      <c r="BG90" s="1">
        <v>9489</v>
      </c>
      <c r="BH90" s="1">
        <v>8076</v>
      </c>
      <c r="BI90" s="1">
        <v>6890</v>
      </c>
      <c r="BJ90" s="1">
        <v>5913</v>
      </c>
      <c r="BK90" s="1">
        <v>5109</v>
      </c>
      <c r="BL90" s="1">
        <v>20165</v>
      </c>
    </row>
    <row r="91" spans="1:64" x14ac:dyDescent="0.25">
      <c r="A91" s="23"/>
      <c r="B91" s="1" t="s">
        <v>29</v>
      </c>
      <c r="C91" s="1">
        <v>67054</v>
      </c>
      <c r="D91" s="1">
        <v>63392</v>
      </c>
      <c r="E91" s="1">
        <v>59958</v>
      </c>
      <c r="F91" s="1">
        <v>56692</v>
      </c>
      <c r="G91" s="1">
        <v>53607</v>
      </c>
      <c r="H91" s="1">
        <v>50532</v>
      </c>
      <c r="I91" s="1">
        <v>47348</v>
      </c>
      <c r="J91" s="1">
        <v>44264</v>
      </c>
      <c r="K91" s="1">
        <v>41292</v>
      </c>
      <c r="L91" s="1">
        <v>38576</v>
      </c>
      <c r="M91" s="1">
        <v>35842</v>
      </c>
      <c r="N91" s="1">
        <v>33052</v>
      </c>
      <c r="O91" s="1">
        <v>30460</v>
      </c>
      <c r="P91" s="1">
        <v>28056</v>
      </c>
      <c r="Q91" s="1">
        <v>25893</v>
      </c>
      <c r="R91" s="1">
        <v>23695</v>
      </c>
      <c r="S91" s="1">
        <v>21525</v>
      </c>
      <c r="T91" s="1">
        <v>19659</v>
      </c>
      <c r="U91" s="1">
        <v>18016</v>
      </c>
      <c r="V91" s="1">
        <v>16610</v>
      </c>
      <c r="W91" s="1">
        <v>15247</v>
      </c>
      <c r="X91" s="1">
        <v>13663</v>
      </c>
      <c r="Y91" s="1">
        <v>12024</v>
      </c>
      <c r="Z91" s="1">
        <v>10400</v>
      </c>
      <c r="AA91" s="1">
        <v>9056</v>
      </c>
      <c r="AB91" s="1">
        <v>7736</v>
      </c>
      <c r="AC91" s="1">
        <v>6469</v>
      </c>
      <c r="AD91" s="1">
        <v>5446</v>
      </c>
      <c r="AE91" s="1">
        <v>4609</v>
      </c>
      <c r="AF91" s="1">
        <v>3915</v>
      </c>
      <c r="AG91" s="7">
        <v>14737</v>
      </c>
      <c r="AH91" s="1">
        <v>73314</v>
      </c>
      <c r="AI91" s="1">
        <v>69665</v>
      </c>
      <c r="AJ91" s="1">
        <v>66283</v>
      </c>
      <c r="AK91" s="1">
        <v>63048</v>
      </c>
      <c r="AL91" s="1">
        <v>59938</v>
      </c>
      <c r="AM91" s="1">
        <v>56763</v>
      </c>
      <c r="AN91" s="1">
        <v>53458</v>
      </c>
      <c r="AO91" s="1">
        <v>50224</v>
      </c>
      <c r="AP91" s="1">
        <v>47058</v>
      </c>
      <c r="AQ91" s="1">
        <v>44091</v>
      </c>
      <c r="AR91" s="1">
        <v>41107</v>
      </c>
      <c r="AS91" s="1">
        <v>38097</v>
      </c>
      <c r="AT91" s="1">
        <v>35258</v>
      </c>
      <c r="AU91" s="1">
        <v>32595</v>
      </c>
      <c r="AV91" s="1">
        <v>30193</v>
      </c>
      <c r="AW91" s="1">
        <v>27804</v>
      </c>
      <c r="AX91" s="1">
        <v>25461</v>
      </c>
      <c r="AY91" s="1">
        <v>23492</v>
      </c>
      <c r="AZ91" s="1">
        <v>21745</v>
      </c>
      <c r="BA91" s="1">
        <v>20219</v>
      </c>
      <c r="BB91" s="1">
        <v>18680</v>
      </c>
      <c r="BC91" s="1">
        <v>16889</v>
      </c>
      <c r="BD91" s="1">
        <v>15039</v>
      </c>
      <c r="BE91" s="1">
        <v>13215</v>
      </c>
      <c r="BF91" s="1">
        <v>11659</v>
      </c>
      <c r="BG91" s="1">
        <v>10115</v>
      </c>
      <c r="BH91" s="1">
        <v>8586</v>
      </c>
      <c r="BI91" s="1">
        <v>7308</v>
      </c>
      <c r="BJ91" s="1">
        <v>6236</v>
      </c>
      <c r="BK91" s="1">
        <v>5355</v>
      </c>
      <c r="BL91" s="1">
        <v>21467</v>
      </c>
    </row>
    <row r="92" spans="1:64" x14ac:dyDescent="0.25">
      <c r="A92" s="23"/>
      <c r="B92" s="1" t="s">
        <v>30</v>
      </c>
      <c r="C92" s="1">
        <v>69813</v>
      </c>
      <c r="D92" s="1">
        <v>66047</v>
      </c>
      <c r="E92" s="1">
        <v>62444</v>
      </c>
      <c r="F92" s="1">
        <v>59062</v>
      </c>
      <c r="G92" s="1">
        <v>55848</v>
      </c>
      <c r="H92" s="1">
        <v>52616</v>
      </c>
      <c r="I92" s="1">
        <v>49411</v>
      </c>
      <c r="J92" s="1">
        <v>46298</v>
      </c>
      <c r="K92" s="1">
        <v>43286</v>
      </c>
      <c r="L92" s="1">
        <v>40382</v>
      </c>
      <c r="M92" s="1">
        <v>37487</v>
      </c>
      <c r="N92" s="1">
        <v>34606</v>
      </c>
      <c r="O92" s="1">
        <v>31912</v>
      </c>
      <c r="P92" s="1">
        <v>29413</v>
      </c>
      <c r="Q92" s="1">
        <v>27092</v>
      </c>
      <c r="R92" s="1">
        <v>24766</v>
      </c>
      <c r="S92" s="1">
        <v>22438</v>
      </c>
      <c r="T92" s="1">
        <v>20383</v>
      </c>
      <c r="U92" s="1">
        <v>18618</v>
      </c>
      <c r="V92" s="1">
        <v>17066</v>
      </c>
      <c r="W92" s="1">
        <v>15538</v>
      </c>
      <c r="X92" s="1">
        <v>14073</v>
      </c>
      <c r="Y92" s="1">
        <v>12612</v>
      </c>
      <c r="Z92" s="1">
        <v>11104</v>
      </c>
      <c r="AA92" s="1">
        <v>9603</v>
      </c>
      <c r="AB92" s="1">
        <v>8202</v>
      </c>
      <c r="AC92" s="1">
        <v>6860</v>
      </c>
      <c r="AD92" s="1">
        <v>5737</v>
      </c>
      <c r="AE92" s="1">
        <v>4832</v>
      </c>
      <c r="AF92" s="1">
        <v>4091</v>
      </c>
      <c r="AG92" s="7">
        <v>15545</v>
      </c>
      <c r="AH92" s="1">
        <v>76487</v>
      </c>
      <c r="AI92" s="1">
        <v>72752</v>
      </c>
      <c r="AJ92" s="1">
        <v>69136</v>
      </c>
      <c r="AK92" s="1">
        <v>65785</v>
      </c>
      <c r="AL92" s="1">
        <v>62578</v>
      </c>
      <c r="AM92" s="1">
        <v>59300</v>
      </c>
      <c r="AN92" s="1">
        <v>55967</v>
      </c>
      <c r="AO92" s="1">
        <v>52711</v>
      </c>
      <c r="AP92" s="1">
        <v>49527</v>
      </c>
      <c r="AQ92" s="1">
        <v>46407</v>
      </c>
      <c r="AR92" s="1">
        <v>43297</v>
      </c>
      <c r="AS92" s="1">
        <v>40186</v>
      </c>
      <c r="AT92" s="1">
        <v>37247</v>
      </c>
      <c r="AU92" s="1">
        <v>34476</v>
      </c>
      <c r="AV92" s="1">
        <v>31876</v>
      </c>
      <c r="AW92" s="1">
        <v>29321</v>
      </c>
      <c r="AX92" s="1">
        <v>26805</v>
      </c>
      <c r="AY92" s="1">
        <v>24547</v>
      </c>
      <c r="AZ92" s="1">
        <v>22654</v>
      </c>
      <c r="BA92" s="1">
        <v>20972</v>
      </c>
      <c r="BB92" s="1">
        <v>19272</v>
      </c>
      <c r="BC92" s="1">
        <v>17578</v>
      </c>
      <c r="BD92" s="1">
        <v>15897</v>
      </c>
      <c r="BE92" s="1">
        <v>14156</v>
      </c>
      <c r="BF92" s="1">
        <v>12444</v>
      </c>
      <c r="BG92" s="1">
        <v>10778</v>
      </c>
      <c r="BH92" s="1">
        <v>9166</v>
      </c>
      <c r="BI92" s="1">
        <v>7779</v>
      </c>
      <c r="BJ92" s="1">
        <v>6624</v>
      </c>
      <c r="BK92" s="1">
        <v>5653</v>
      </c>
      <c r="BL92" s="1">
        <v>22814</v>
      </c>
    </row>
    <row r="93" spans="1:64" x14ac:dyDescent="0.25">
      <c r="A93" s="23"/>
      <c r="B93" s="1" t="s">
        <v>31</v>
      </c>
      <c r="C93" s="1">
        <v>72591</v>
      </c>
      <c r="D93" s="1">
        <v>68777</v>
      </c>
      <c r="E93" s="1">
        <v>65066</v>
      </c>
      <c r="F93" s="1">
        <v>61521</v>
      </c>
      <c r="G93" s="1">
        <v>58190</v>
      </c>
      <c r="H93" s="1">
        <v>54825</v>
      </c>
      <c r="I93" s="1">
        <v>51459</v>
      </c>
      <c r="J93" s="1">
        <v>48325</v>
      </c>
      <c r="K93" s="1">
        <v>45285</v>
      </c>
      <c r="L93" s="1">
        <v>42340</v>
      </c>
      <c r="M93" s="1">
        <v>39253</v>
      </c>
      <c r="N93" s="1">
        <v>36206</v>
      </c>
      <c r="O93" s="1">
        <v>33422</v>
      </c>
      <c r="P93" s="1">
        <v>30824</v>
      </c>
      <c r="Q93" s="1">
        <v>28411</v>
      </c>
      <c r="R93" s="1">
        <v>25923</v>
      </c>
      <c r="S93" s="1">
        <v>23462</v>
      </c>
      <c r="T93" s="1">
        <v>21259</v>
      </c>
      <c r="U93" s="1">
        <v>19313</v>
      </c>
      <c r="V93" s="1">
        <v>17643</v>
      </c>
      <c r="W93" s="1">
        <v>15971</v>
      </c>
      <c r="X93" s="1">
        <v>14351</v>
      </c>
      <c r="Y93" s="1">
        <v>13000</v>
      </c>
      <c r="Z93" s="1">
        <v>11651</v>
      </c>
      <c r="AA93" s="1">
        <v>10259</v>
      </c>
      <c r="AB93" s="1">
        <v>8704</v>
      </c>
      <c r="AC93" s="1">
        <v>7278</v>
      </c>
      <c r="AD93" s="1">
        <v>6089</v>
      </c>
      <c r="AE93" s="1">
        <v>5094</v>
      </c>
      <c r="AF93" s="1">
        <v>4291</v>
      </c>
      <c r="AG93" s="7">
        <v>16377</v>
      </c>
      <c r="AH93" s="1">
        <v>79682</v>
      </c>
      <c r="AI93" s="1">
        <v>75905</v>
      </c>
      <c r="AJ93" s="1">
        <v>72202</v>
      </c>
      <c r="AK93" s="1">
        <v>68619</v>
      </c>
      <c r="AL93" s="1">
        <v>65296</v>
      </c>
      <c r="AM93" s="1">
        <v>61917</v>
      </c>
      <c r="AN93" s="1">
        <v>58479</v>
      </c>
      <c r="AO93" s="1">
        <v>55193</v>
      </c>
      <c r="AP93" s="1">
        <v>51988</v>
      </c>
      <c r="AQ93" s="1">
        <v>48847</v>
      </c>
      <c r="AR93" s="1">
        <v>45578</v>
      </c>
      <c r="AS93" s="1">
        <v>42338</v>
      </c>
      <c r="AT93" s="1">
        <v>39299</v>
      </c>
      <c r="AU93" s="1">
        <v>36428</v>
      </c>
      <c r="AV93" s="1">
        <v>33724</v>
      </c>
      <c r="AW93" s="1">
        <v>30964</v>
      </c>
      <c r="AX93" s="1">
        <v>28278</v>
      </c>
      <c r="AY93" s="1">
        <v>25855</v>
      </c>
      <c r="AZ93" s="1">
        <v>23679</v>
      </c>
      <c r="BA93" s="1">
        <v>21858</v>
      </c>
      <c r="BB93" s="1">
        <v>20000</v>
      </c>
      <c r="BC93" s="1">
        <v>18151</v>
      </c>
      <c r="BD93" s="1">
        <v>16558</v>
      </c>
      <c r="BE93" s="1">
        <v>14976</v>
      </c>
      <c r="BF93" s="1">
        <v>13339</v>
      </c>
      <c r="BG93" s="1">
        <v>11515</v>
      </c>
      <c r="BH93" s="1">
        <v>9777</v>
      </c>
      <c r="BI93" s="1">
        <v>8317</v>
      </c>
      <c r="BJ93" s="1">
        <v>7059</v>
      </c>
      <c r="BK93" s="1">
        <v>6014</v>
      </c>
      <c r="BL93" s="1">
        <v>24246</v>
      </c>
    </row>
    <row r="94" spans="1:64" x14ac:dyDescent="0.25">
      <c r="A94" s="23"/>
      <c r="B94" s="1" t="s">
        <v>32</v>
      </c>
      <c r="C94" s="1">
        <v>75435</v>
      </c>
      <c r="D94" s="1">
        <v>71522</v>
      </c>
      <c r="E94" s="1">
        <v>67767</v>
      </c>
      <c r="F94" s="1">
        <v>64111</v>
      </c>
      <c r="G94" s="1">
        <v>60620</v>
      </c>
      <c r="H94" s="1">
        <v>57134</v>
      </c>
      <c r="I94" s="1">
        <v>53629</v>
      </c>
      <c r="J94" s="1">
        <v>50338</v>
      </c>
      <c r="K94" s="1">
        <v>47277</v>
      </c>
      <c r="L94" s="1">
        <v>44304</v>
      </c>
      <c r="M94" s="1">
        <v>41168</v>
      </c>
      <c r="N94" s="1">
        <v>37921</v>
      </c>
      <c r="O94" s="1">
        <v>34980</v>
      </c>
      <c r="P94" s="1">
        <v>32292</v>
      </c>
      <c r="Q94" s="1">
        <v>29781</v>
      </c>
      <c r="R94" s="1">
        <v>27196</v>
      </c>
      <c r="S94" s="1">
        <v>24570</v>
      </c>
      <c r="T94" s="1">
        <v>22238</v>
      </c>
      <c r="U94" s="1">
        <v>20152</v>
      </c>
      <c r="V94" s="1">
        <v>18309</v>
      </c>
      <c r="W94" s="1">
        <v>16521</v>
      </c>
      <c r="X94" s="1">
        <v>14760</v>
      </c>
      <c r="Y94" s="1">
        <v>13262</v>
      </c>
      <c r="Z94" s="1">
        <v>12017</v>
      </c>
      <c r="AA94" s="1">
        <v>10771</v>
      </c>
      <c r="AB94" s="1">
        <v>9304</v>
      </c>
      <c r="AC94" s="1">
        <v>7729</v>
      </c>
      <c r="AD94" s="1">
        <v>6465</v>
      </c>
      <c r="AE94" s="1">
        <v>5410</v>
      </c>
      <c r="AF94" s="1">
        <v>4529</v>
      </c>
      <c r="AG94" s="7">
        <v>17247</v>
      </c>
      <c r="AH94" s="1">
        <v>82919</v>
      </c>
      <c r="AI94" s="1">
        <v>79081</v>
      </c>
      <c r="AJ94" s="1">
        <v>75335</v>
      </c>
      <c r="AK94" s="1">
        <v>71665</v>
      </c>
      <c r="AL94" s="1">
        <v>68112</v>
      </c>
      <c r="AM94" s="1">
        <v>64611</v>
      </c>
      <c r="AN94" s="1">
        <v>61066</v>
      </c>
      <c r="AO94" s="1">
        <v>57681</v>
      </c>
      <c r="AP94" s="1">
        <v>54443</v>
      </c>
      <c r="AQ94" s="1">
        <v>51284</v>
      </c>
      <c r="AR94" s="1">
        <v>47981</v>
      </c>
      <c r="AS94" s="1">
        <v>44578</v>
      </c>
      <c r="AT94" s="1">
        <v>41413</v>
      </c>
      <c r="AU94" s="1">
        <v>38443</v>
      </c>
      <c r="AV94" s="1">
        <v>35640</v>
      </c>
      <c r="AW94" s="1">
        <v>32770</v>
      </c>
      <c r="AX94" s="1">
        <v>29875</v>
      </c>
      <c r="AY94" s="1">
        <v>27285</v>
      </c>
      <c r="AZ94" s="1">
        <v>24951</v>
      </c>
      <c r="BA94" s="1">
        <v>22856</v>
      </c>
      <c r="BB94" s="1">
        <v>20854</v>
      </c>
      <c r="BC94" s="1">
        <v>18852</v>
      </c>
      <c r="BD94" s="1">
        <v>17110</v>
      </c>
      <c r="BE94" s="1">
        <v>15609</v>
      </c>
      <c r="BF94" s="1">
        <v>14122</v>
      </c>
      <c r="BG94" s="1">
        <v>12357</v>
      </c>
      <c r="BH94" s="1">
        <v>10459</v>
      </c>
      <c r="BI94" s="1">
        <v>8882</v>
      </c>
      <c r="BJ94" s="1">
        <v>7558</v>
      </c>
      <c r="BK94" s="1">
        <v>6413</v>
      </c>
      <c r="BL94" s="1">
        <v>25811</v>
      </c>
    </row>
    <row r="95" spans="1:64" x14ac:dyDescent="0.25">
      <c r="A95" s="23"/>
      <c r="B95" s="1" t="s">
        <v>33</v>
      </c>
      <c r="C95" s="1">
        <v>78135</v>
      </c>
      <c r="D95" s="1">
        <v>74336</v>
      </c>
      <c r="E95" s="1">
        <v>70479</v>
      </c>
      <c r="F95" s="1">
        <v>66781</v>
      </c>
      <c r="G95" s="1">
        <v>63181</v>
      </c>
      <c r="H95" s="1">
        <v>59530</v>
      </c>
      <c r="I95" s="1">
        <v>55898</v>
      </c>
      <c r="J95" s="1">
        <v>52471</v>
      </c>
      <c r="K95" s="1">
        <v>49255</v>
      </c>
      <c r="L95" s="1">
        <v>46261</v>
      </c>
      <c r="M95" s="1">
        <v>43087</v>
      </c>
      <c r="N95" s="1">
        <v>39783</v>
      </c>
      <c r="O95" s="1">
        <v>36647</v>
      </c>
      <c r="P95" s="1">
        <v>33807</v>
      </c>
      <c r="Q95" s="1">
        <v>31211</v>
      </c>
      <c r="R95" s="1">
        <v>28516</v>
      </c>
      <c r="S95" s="1">
        <v>25788</v>
      </c>
      <c r="T95" s="1">
        <v>23299</v>
      </c>
      <c r="U95" s="1">
        <v>21090</v>
      </c>
      <c r="V95" s="1">
        <v>19112</v>
      </c>
      <c r="W95" s="1">
        <v>17153</v>
      </c>
      <c r="X95" s="1">
        <v>15274</v>
      </c>
      <c r="Y95" s="1">
        <v>13649</v>
      </c>
      <c r="Z95" s="1">
        <v>12266</v>
      </c>
      <c r="AA95" s="1">
        <v>11116</v>
      </c>
      <c r="AB95" s="1">
        <v>9776</v>
      </c>
      <c r="AC95" s="1">
        <v>8266</v>
      </c>
      <c r="AD95" s="1">
        <v>6872</v>
      </c>
      <c r="AE95" s="1">
        <v>5747</v>
      </c>
      <c r="AF95" s="1">
        <v>4812</v>
      </c>
      <c r="AG95" s="7">
        <v>18185</v>
      </c>
      <c r="AH95" s="1">
        <v>85922</v>
      </c>
      <c r="AI95" s="1">
        <v>82296</v>
      </c>
      <c r="AJ95" s="1">
        <v>78490</v>
      </c>
      <c r="AK95" s="1">
        <v>74777</v>
      </c>
      <c r="AL95" s="1">
        <v>71138</v>
      </c>
      <c r="AM95" s="1">
        <v>67405</v>
      </c>
      <c r="AN95" s="1">
        <v>63734</v>
      </c>
      <c r="AO95" s="1">
        <v>60239</v>
      </c>
      <c r="AP95" s="1">
        <v>56905</v>
      </c>
      <c r="AQ95" s="1">
        <v>53712</v>
      </c>
      <c r="AR95" s="1">
        <v>50385</v>
      </c>
      <c r="AS95" s="1">
        <v>46940</v>
      </c>
      <c r="AT95" s="1">
        <v>43610</v>
      </c>
      <c r="AU95" s="1">
        <v>40522</v>
      </c>
      <c r="AV95" s="1">
        <v>37617</v>
      </c>
      <c r="AW95" s="1">
        <v>34641</v>
      </c>
      <c r="AX95" s="1">
        <v>31630</v>
      </c>
      <c r="AY95" s="1">
        <v>28838</v>
      </c>
      <c r="AZ95" s="1">
        <v>26341</v>
      </c>
      <c r="BA95" s="1">
        <v>24089</v>
      </c>
      <c r="BB95" s="1">
        <v>21820</v>
      </c>
      <c r="BC95" s="1">
        <v>19671</v>
      </c>
      <c r="BD95" s="1">
        <v>17783</v>
      </c>
      <c r="BE95" s="1">
        <v>16141</v>
      </c>
      <c r="BF95" s="1">
        <v>14729</v>
      </c>
      <c r="BG95" s="1">
        <v>13093</v>
      </c>
      <c r="BH95" s="1">
        <v>11239</v>
      </c>
      <c r="BI95" s="1">
        <v>9513</v>
      </c>
      <c r="BJ95" s="1">
        <v>8081</v>
      </c>
      <c r="BK95" s="1">
        <v>6875</v>
      </c>
      <c r="BL95" s="1">
        <v>27523</v>
      </c>
    </row>
    <row r="96" spans="1:64" x14ac:dyDescent="0.25">
      <c r="A96" s="23"/>
      <c r="B96" s="1" t="s">
        <v>34</v>
      </c>
      <c r="C96" s="1">
        <v>80602</v>
      </c>
      <c r="D96" s="1">
        <v>77005</v>
      </c>
      <c r="E96" s="1">
        <v>73263</v>
      </c>
      <c r="F96" s="1">
        <v>69463</v>
      </c>
      <c r="G96" s="1">
        <v>65821</v>
      </c>
      <c r="H96" s="1">
        <v>62054</v>
      </c>
      <c r="I96" s="1">
        <v>58255</v>
      </c>
      <c r="J96" s="1">
        <v>54702</v>
      </c>
      <c r="K96" s="1">
        <v>51350</v>
      </c>
      <c r="L96" s="1">
        <v>48205</v>
      </c>
      <c r="M96" s="1">
        <v>45001</v>
      </c>
      <c r="N96" s="1">
        <v>41650</v>
      </c>
      <c r="O96" s="1">
        <v>38458</v>
      </c>
      <c r="P96" s="1">
        <v>35428</v>
      </c>
      <c r="Q96" s="1">
        <v>32683</v>
      </c>
      <c r="R96" s="1">
        <v>29897</v>
      </c>
      <c r="S96" s="1">
        <v>27051</v>
      </c>
      <c r="T96" s="1">
        <v>24463</v>
      </c>
      <c r="U96" s="1">
        <v>22106</v>
      </c>
      <c r="V96" s="1">
        <v>20010</v>
      </c>
      <c r="W96" s="1">
        <v>17914</v>
      </c>
      <c r="X96" s="1">
        <v>15869</v>
      </c>
      <c r="Y96" s="1">
        <v>14130</v>
      </c>
      <c r="Z96" s="1">
        <v>12630</v>
      </c>
      <c r="AA96" s="1">
        <v>11352</v>
      </c>
      <c r="AB96" s="1">
        <v>10097</v>
      </c>
      <c r="AC96" s="1">
        <v>8692</v>
      </c>
      <c r="AD96" s="1">
        <v>7353</v>
      </c>
      <c r="AE96" s="1">
        <v>6114</v>
      </c>
      <c r="AF96" s="1">
        <v>5115</v>
      </c>
      <c r="AG96" s="7">
        <v>19216</v>
      </c>
      <c r="AH96" s="1">
        <v>88559</v>
      </c>
      <c r="AI96" s="1">
        <v>85280</v>
      </c>
      <c r="AJ96" s="1">
        <v>81686</v>
      </c>
      <c r="AK96" s="1">
        <v>77912</v>
      </c>
      <c r="AL96" s="1">
        <v>74231</v>
      </c>
      <c r="AM96" s="1">
        <v>70403</v>
      </c>
      <c r="AN96" s="1">
        <v>66499</v>
      </c>
      <c r="AO96" s="1">
        <v>62882</v>
      </c>
      <c r="AP96" s="1">
        <v>59435</v>
      </c>
      <c r="AQ96" s="1">
        <v>56148</v>
      </c>
      <c r="AR96" s="1">
        <v>52779</v>
      </c>
      <c r="AS96" s="1">
        <v>49300</v>
      </c>
      <c r="AT96" s="1">
        <v>45936</v>
      </c>
      <c r="AU96" s="1">
        <v>42677</v>
      </c>
      <c r="AV96" s="1">
        <v>39659</v>
      </c>
      <c r="AW96" s="1">
        <v>36573</v>
      </c>
      <c r="AX96" s="1">
        <v>33447</v>
      </c>
      <c r="AY96" s="1">
        <v>30543</v>
      </c>
      <c r="AZ96" s="1">
        <v>27850</v>
      </c>
      <c r="BA96" s="1">
        <v>25443</v>
      </c>
      <c r="BB96" s="1">
        <v>23007</v>
      </c>
      <c r="BC96" s="1">
        <v>20596</v>
      </c>
      <c r="BD96" s="1">
        <v>18567</v>
      </c>
      <c r="BE96" s="1">
        <v>16789</v>
      </c>
      <c r="BF96" s="1">
        <v>15239</v>
      </c>
      <c r="BG96" s="1">
        <v>13669</v>
      </c>
      <c r="BH96" s="1">
        <v>11923</v>
      </c>
      <c r="BI96" s="1">
        <v>10235</v>
      </c>
      <c r="BJ96" s="1">
        <v>8664</v>
      </c>
      <c r="BK96" s="1">
        <v>7359</v>
      </c>
      <c r="BL96" s="1">
        <v>29419</v>
      </c>
    </row>
    <row r="97" spans="1:64" x14ac:dyDescent="0.25">
      <c r="A97" s="22" t="s">
        <v>56</v>
      </c>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row>
    <row r="99" spans="1:64" ht="32.450000000000003" customHeight="1" x14ac:dyDescent="0.25">
      <c r="A99" s="19" t="s">
        <v>103</v>
      </c>
      <c r="B99" s="19"/>
      <c r="C99" s="19"/>
      <c r="D99" s="19"/>
      <c r="E99" s="19"/>
    </row>
    <row r="100" spans="1:64" x14ac:dyDescent="0.25">
      <c r="A100" s="2" t="s">
        <v>97</v>
      </c>
      <c r="B100" s="20" t="s">
        <v>101</v>
      </c>
      <c r="C100" s="21"/>
      <c r="D100" s="20" t="s">
        <v>102</v>
      </c>
      <c r="E100" s="21"/>
    </row>
    <row r="101" spans="1:64" x14ac:dyDescent="0.25">
      <c r="A101" s="3">
        <v>2010</v>
      </c>
      <c r="B101" s="15">
        <f>SUM(C7:AG7)</f>
        <v>9279369</v>
      </c>
      <c r="C101" s="16"/>
      <c r="D101" s="17">
        <f>SUM(AH7:BL7)</f>
        <v>11588556</v>
      </c>
      <c r="E101" s="18"/>
    </row>
    <row r="102" spans="1:64" x14ac:dyDescent="0.25">
      <c r="A102" s="3">
        <v>2011</v>
      </c>
      <c r="B102" s="15">
        <f t="shared" ref="B102:B115" si="0">SUM(C8:AG8)</f>
        <v>9602961</v>
      </c>
      <c r="C102" s="16"/>
      <c r="D102" s="17">
        <f t="shared" ref="D102:D115" si="1">SUM(AH8:BL8)</f>
        <v>12017352</v>
      </c>
      <c r="E102" s="18"/>
    </row>
    <row r="103" spans="1:64" x14ac:dyDescent="0.25">
      <c r="A103" s="3">
        <v>2012</v>
      </c>
      <c r="B103" s="15">
        <f t="shared" si="0"/>
        <v>9944264</v>
      </c>
      <c r="C103" s="16"/>
      <c r="D103" s="17">
        <f t="shared" si="1"/>
        <v>12469716</v>
      </c>
      <c r="E103" s="18"/>
    </row>
    <row r="104" spans="1:64" x14ac:dyDescent="0.25">
      <c r="A104" s="3">
        <v>2013</v>
      </c>
      <c r="B104" s="15">
        <f t="shared" si="0"/>
        <v>10303118</v>
      </c>
      <c r="C104" s="16"/>
      <c r="D104" s="17">
        <f t="shared" si="1"/>
        <v>12944842</v>
      </c>
      <c r="E104" s="18"/>
    </row>
    <row r="105" spans="1:64" x14ac:dyDescent="0.25">
      <c r="A105" s="3">
        <v>2014</v>
      </c>
      <c r="B105" s="15">
        <f t="shared" si="0"/>
        <v>10680220</v>
      </c>
      <c r="C105" s="16"/>
      <c r="D105" s="17">
        <f t="shared" si="1"/>
        <v>13442612</v>
      </c>
      <c r="E105" s="18"/>
    </row>
    <row r="106" spans="1:64" x14ac:dyDescent="0.25">
      <c r="A106" s="3">
        <v>2015</v>
      </c>
      <c r="B106" s="15">
        <f t="shared" si="0"/>
        <v>11075673</v>
      </c>
      <c r="C106" s="16"/>
      <c r="D106" s="17">
        <f t="shared" si="1"/>
        <v>13962679</v>
      </c>
      <c r="E106" s="18"/>
    </row>
    <row r="107" spans="1:64" x14ac:dyDescent="0.25">
      <c r="A107" s="3">
        <v>2016</v>
      </c>
      <c r="B107" s="15">
        <f t="shared" si="0"/>
        <v>11489609</v>
      </c>
      <c r="C107" s="16"/>
      <c r="D107" s="17">
        <f t="shared" si="1"/>
        <v>14504840</v>
      </c>
      <c r="E107" s="18"/>
    </row>
    <row r="108" spans="1:64" x14ac:dyDescent="0.25">
      <c r="A108" s="3">
        <v>2017</v>
      </c>
      <c r="B108" s="15">
        <f t="shared" si="0"/>
        <v>11922186</v>
      </c>
      <c r="C108" s="16"/>
      <c r="D108" s="17">
        <f t="shared" si="1"/>
        <v>15068686</v>
      </c>
      <c r="E108" s="18"/>
    </row>
    <row r="109" spans="1:64" x14ac:dyDescent="0.25">
      <c r="A109" s="3">
        <v>2018</v>
      </c>
      <c r="B109" s="15">
        <f t="shared" si="0"/>
        <v>12372080</v>
      </c>
      <c r="C109" s="16"/>
      <c r="D109" s="17">
        <f t="shared" si="1"/>
        <v>15653222</v>
      </c>
      <c r="E109" s="18"/>
    </row>
    <row r="110" spans="1:64" x14ac:dyDescent="0.25">
      <c r="A110" s="3">
        <v>2019</v>
      </c>
      <c r="B110" s="15">
        <f t="shared" si="0"/>
        <v>12837737</v>
      </c>
      <c r="C110" s="16"/>
      <c r="D110" s="17">
        <f t="shared" si="1"/>
        <v>16257338</v>
      </c>
      <c r="E110" s="18"/>
    </row>
    <row r="111" spans="1:64" x14ac:dyDescent="0.25">
      <c r="A111" s="3">
        <v>2020</v>
      </c>
      <c r="B111" s="15">
        <f t="shared" si="0"/>
        <v>13317495</v>
      </c>
      <c r="C111" s="16"/>
      <c r="D111" s="17">
        <f t="shared" si="1"/>
        <v>16879582</v>
      </c>
      <c r="E111" s="18"/>
    </row>
    <row r="112" spans="1:64" x14ac:dyDescent="0.25">
      <c r="A112" s="3">
        <v>2021</v>
      </c>
      <c r="B112" s="15">
        <f t="shared" si="0"/>
        <v>13811135</v>
      </c>
      <c r="C112" s="16"/>
      <c r="D112" s="17">
        <f t="shared" si="1"/>
        <v>17519100</v>
      </c>
      <c r="E112" s="18"/>
    </row>
    <row r="113" spans="1:5" x14ac:dyDescent="0.25">
      <c r="A113" s="3">
        <v>2022</v>
      </c>
      <c r="B113" s="15">
        <f t="shared" si="0"/>
        <v>14318409</v>
      </c>
      <c r="C113" s="16"/>
      <c r="D113" s="17">
        <f t="shared" si="1"/>
        <v>18175356</v>
      </c>
      <c r="E113" s="18"/>
    </row>
    <row r="114" spans="1:5" x14ac:dyDescent="0.25">
      <c r="A114" s="3">
        <v>2023</v>
      </c>
      <c r="B114" s="15">
        <f t="shared" si="0"/>
        <v>14836087</v>
      </c>
      <c r="C114" s="16"/>
      <c r="D114" s="17">
        <f t="shared" si="1"/>
        <v>18843899</v>
      </c>
      <c r="E114" s="18"/>
    </row>
    <row r="115" spans="1:5" x14ac:dyDescent="0.25">
      <c r="A115" s="3">
        <v>2024</v>
      </c>
      <c r="B115" s="15">
        <f t="shared" si="0"/>
        <v>15360264</v>
      </c>
      <c r="C115" s="16"/>
      <c r="D115" s="17">
        <f t="shared" si="1"/>
        <v>19518950</v>
      </c>
      <c r="E115" s="18"/>
    </row>
  </sheetData>
  <mergeCells count="48">
    <mergeCell ref="A82:A96"/>
    <mergeCell ref="A97:BL97"/>
    <mergeCell ref="A7:A21"/>
    <mergeCell ref="A22:A36"/>
    <mergeCell ref="A37:A51"/>
    <mergeCell ref="A52:A66"/>
    <mergeCell ref="A67:A81"/>
    <mergeCell ref="A1:BL1"/>
    <mergeCell ref="A2:BL2"/>
    <mergeCell ref="A3:A6"/>
    <mergeCell ref="B3:B6"/>
    <mergeCell ref="C3:BL3"/>
    <mergeCell ref="C4:BL4"/>
    <mergeCell ref="C5:AG5"/>
    <mergeCell ref="AH5:BL5"/>
    <mergeCell ref="B111:C111"/>
    <mergeCell ref="A99:E99"/>
    <mergeCell ref="B101:C101"/>
    <mergeCell ref="B102:C102"/>
    <mergeCell ref="B103:C103"/>
    <mergeCell ref="B104:C104"/>
    <mergeCell ref="B105:C105"/>
    <mergeCell ref="B106:C106"/>
    <mergeCell ref="B107:C107"/>
    <mergeCell ref="B108:C108"/>
    <mergeCell ref="B109:C109"/>
    <mergeCell ref="B110:C110"/>
    <mergeCell ref="D102:E102"/>
    <mergeCell ref="D103:E103"/>
    <mergeCell ref="D104:E104"/>
    <mergeCell ref="D105:E105"/>
    <mergeCell ref="D106:E106"/>
    <mergeCell ref="D113:E113"/>
    <mergeCell ref="D114:E114"/>
    <mergeCell ref="D115:E115"/>
    <mergeCell ref="B100:C100"/>
    <mergeCell ref="D100:E100"/>
    <mergeCell ref="D107:E107"/>
    <mergeCell ref="D108:E108"/>
    <mergeCell ref="D109:E109"/>
    <mergeCell ref="D110:E110"/>
    <mergeCell ref="D111:E111"/>
    <mergeCell ref="D112:E112"/>
    <mergeCell ref="B112:C112"/>
    <mergeCell ref="B113:C113"/>
    <mergeCell ref="B114:C114"/>
    <mergeCell ref="B115:C115"/>
    <mergeCell ref="D101:E10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1303C4-5FEC-49AA-94C4-696BE9AAF0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Análise_aids_60mais</vt:lpstr>
      <vt:lpstr>Notas Metodológicas e Fontes</vt:lpstr>
      <vt:lpstr>aids_60mais_estado</vt:lpstr>
      <vt:lpstr>aids_60mais_regiao</vt:lpstr>
      <vt:lpstr>aids_60mais_sexo</vt:lpstr>
      <vt:lpstr>aids_60mais_total</vt:lpstr>
      <vt:lpstr>pop_cru_60mais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Kaike</dc:creator>
  <cp:lastModifiedBy>Kaike Martins</cp:lastModifiedBy>
  <dcterms:created xsi:type="dcterms:W3CDTF">2026-05-07T03:42:24Z</dcterms:created>
  <dcterms:modified xsi:type="dcterms:W3CDTF">2026-05-08T01:27:29Z</dcterms:modified>
</cp:coreProperties>
</file>